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\Documents\fussball-agent-app\FootballAgent\"/>
    </mc:Choice>
  </mc:AlternateContent>
  <xr:revisionPtr revIDLastSave="0" documentId="13_ncr:1_{F4446998-F73F-4C05-9B59-85B3F3ED58C7}" xr6:coauthVersionLast="47" xr6:coauthVersionMax="47" xr10:uidLastSave="{00000000-0000-0000-0000-000000000000}"/>
  <bookViews>
    <workbookView xWindow="-120" yWindow="-120" windowWidth="29040" windowHeight="15720" xr2:uid="{8EA1AADD-08EB-4841-99AA-B0094448DD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1" l="1"/>
  <c r="C7" i="1"/>
  <c r="D7" i="1"/>
  <c r="E7" i="1"/>
  <c r="F7" i="1"/>
  <c r="G7" i="1"/>
  <c r="H7" i="1"/>
  <c r="I7" i="1"/>
  <c r="J7" i="1"/>
  <c r="E4" i="1"/>
  <c r="J4" i="1"/>
  <c r="F4" i="1"/>
  <c r="G4" i="1"/>
  <c r="K3" i="1"/>
  <c r="I4" i="1"/>
  <c r="H4" i="1"/>
  <c r="D4" i="1"/>
  <c r="C4" i="1"/>
</calcChain>
</file>

<file path=xl/sharedStrings.xml><?xml version="1.0" encoding="utf-8"?>
<sst xmlns="http://schemas.openxmlformats.org/spreadsheetml/2006/main" count="105" uniqueCount="105">
  <si>
    <t># teams</t>
  </si>
  <si>
    <t>avg. Rep</t>
  </si>
  <si>
    <t>high rep</t>
  </si>
  <si>
    <t xml:space="preserve">Then, I want to resolve the different costs for different scouting regions by creating a rule-based system rather than random figures for each region. The price for one report should be determined by: What the highest reputation club within that region is (higher = more expensive), and how many clubs there are in a region (more = less expensive), and what the average reputation of clubs in the region is (higher = more expensive). The base region that it is scaled from should be 600 Euros per report. </t>
  </si>
  <si>
    <t>country</t>
  </si>
  <si>
    <t>region</t>
  </si>
  <si>
    <t>switzerland</t>
  </si>
  <si>
    <t>Innerschweiz</t>
  </si>
  <si>
    <t>Clubs:</t>
  </si>
  <si>
    <t>FC Luzern</t>
  </si>
  <si>
    <t>FC Kriens</t>
  </si>
  <si>
    <t>SC Cham</t>
  </si>
  <si>
    <t>FC Freienbach</t>
  </si>
  <si>
    <t>Zug 94</t>
  </si>
  <si>
    <t>FC Buochs</t>
  </si>
  <si>
    <t>FC Luzern U21</t>
  </si>
  <si>
    <t>FC Tuggen</t>
  </si>
  <si>
    <t>FC Schötz</t>
  </si>
  <si>
    <t>Nordwestschweiz</t>
  </si>
  <si>
    <t>Black Stars</t>
  </si>
  <si>
    <t>Concordia</t>
  </si>
  <si>
    <t>FC Basel  U21</t>
  </si>
  <si>
    <t>FC Basel</t>
  </si>
  <si>
    <t>FC Aarau</t>
  </si>
  <si>
    <t>FC Baden</t>
  </si>
  <si>
    <t>FC Solothurn</t>
  </si>
  <si>
    <t>SV Muttenz</t>
  </si>
  <si>
    <t>FC Wohlen</t>
  </si>
  <si>
    <t>Nordostschweiz</t>
  </si>
  <si>
    <t>FCZ</t>
  </si>
  <si>
    <t>GCZ</t>
  </si>
  <si>
    <t>FCZ U21</t>
  </si>
  <si>
    <t>YF Juventus</t>
  </si>
  <si>
    <t>Kosova ZH</t>
  </si>
  <si>
    <t>GCZ U21</t>
  </si>
  <si>
    <t>FC Winterthur</t>
  </si>
  <si>
    <t>FC Winterthur U21</t>
  </si>
  <si>
    <t>FC Schaffhausen</t>
  </si>
  <si>
    <t>FC Dietikon</t>
  </si>
  <si>
    <t>FC Thalwil</t>
  </si>
  <si>
    <t>FC Kreuzlingen</t>
  </si>
  <si>
    <t>FC EM</t>
  </si>
  <si>
    <t>FC WB</t>
  </si>
  <si>
    <t>Westschweiz</t>
  </si>
  <si>
    <t>Servette</t>
  </si>
  <si>
    <t>Servette U21</t>
  </si>
  <si>
    <t>L-S</t>
  </si>
  <si>
    <t>L-S U21</t>
  </si>
  <si>
    <t>Stade Lausanne</t>
  </si>
  <si>
    <t>Yverdon</t>
  </si>
  <si>
    <t>Xamax</t>
  </si>
  <si>
    <t>Etoile Carouge</t>
  </si>
  <si>
    <t>Nyon</t>
  </si>
  <si>
    <t>Bavois</t>
  </si>
  <si>
    <t>Saint-Prex</t>
  </si>
  <si>
    <t>Vevey</t>
  </si>
  <si>
    <t>La Chaux-d-f</t>
  </si>
  <si>
    <t>Lancy</t>
  </si>
  <si>
    <t>Coffrane</t>
  </si>
  <si>
    <t>Courtételle</t>
  </si>
  <si>
    <t>Bassecourt</t>
  </si>
  <si>
    <t>Delemont</t>
  </si>
  <si>
    <t>Monthey</t>
  </si>
  <si>
    <t>Portalban</t>
  </si>
  <si>
    <t>Echallens</t>
  </si>
  <si>
    <t>Payerne</t>
  </si>
  <si>
    <t>Meyrin</t>
  </si>
  <si>
    <t>Chatelaine</t>
  </si>
  <si>
    <t>Bulle</t>
  </si>
  <si>
    <t>Chenois</t>
  </si>
  <si>
    <t>Bern</t>
  </si>
  <si>
    <t>YB</t>
  </si>
  <si>
    <t>Thun</t>
  </si>
  <si>
    <t>YB u21</t>
  </si>
  <si>
    <t>Breitenrain</t>
  </si>
  <si>
    <t>Prishtina BE</t>
  </si>
  <si>
    <t>Biel</t>
  </si>
  <si>
    <t>Langenthal</t>
  </si>
  <si>
    <t>Muri-Gümligen</t>
  </si>
  <si>
    <t>Münsigen</t>
  </si>
  <si>
    <t>Ostschweiz</t>
  </si>
  <si>
    <t>FCSG</t>
  </si>
  <si>
    <t>FCSG U21</t>
  </si>
  <si>
    <t>Brühl SG</t>
  </si>
  <si>
    <t>FCRJ</t>
  </si>
  <si>
    <t>Wil</t>
  </si>
  <si>
    <t>Gossau</t>
  </si>
  <si>
    <t>Widnau</t>
  </si>
  <si>
    <t>Vaduz</t>
  </si>
  <si>
    <t>Eschen/Mauren</t>
  </si>
  <si>
    <t>Valais-Ticino</t>
  </si>
  <si>
    <t>FC Lugano</t>
  </si>
  <si>
    <t>FC Lugano U21</t>
  </si>
  <si>
    <t>Bellinzona</t>
  </si>
  <si>
    <t>Naters</t>
  </si>
  <si>
    <t>Mendrisio</t>
  </si>
  <si>
    <t>Collina</t>
  </si>
  <si>
    <t>Paradiso</t>
  </si>
  <si>
    <t>Locarno</t>
  </si>
  <si>
    <t>Sion</t>
  </si>
  <si>
    <t>Sion U21</t>
  </si>
  <si>
    <t>Taverne</t>
  </si>
  <si>
    <t>Genf</t>
  </si>
  <si>
    <t>Waadt</t>
  </si>
  <si>
    <t>LG-Saconnex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</si>
</sst>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6" formatCode="0.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96" fontId="0" fillId="0" borderId="0" xfId="0" applyNumberFormat="1"/>
    <xf numFmtId="1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B3EC-8A6E-4A30-B000-F92A372ED04D}">
  <dimension ref="A1:L30"/>
  <sheetViews>
    <sheetView tabSelected="1" workbookViewId="0">
      <selection activeCell="G17" sqref="G17:G18"/>
    </sheetView>
  </sheetViews>
  <sheetFormatPr defaultRowHeight="15" x14ac:dyDescent="0.25"/>
  <cols>
    <col min="2" max="2" width="19" customWidth="1"/>
    <col min="3" max="3" width="17" customWidth="1"/>
    <col min="4" max="4" width="15.140625" bestFit="1" customWidth="1"/>
    <col min="5" max="8" width="15.28515625" customWidth="1"/>
    <col min="9" max="9" width="17.28515625" customWidth="1"/>
    <col min="10" max="10" width="14.7109375" customWidth="1"/>
    <col min="11" max="11" width="12.5703125" bestFit="1" customWidth="1"/>
  </cols>
  <sheetData>
    <row r="1" spans="1:12" x14ac:dyDescent="0.25">
      <c r="A1" t="s">
        <v>4</v>
      </c>
      <c r="B1" t="s">
        <v>6</v>
      </c>
    </row>
    <row r="2" spans="1:12" x14ac:dyDescent="0.25">
      <c r="A2" t="s">
        <v>5</v>
      </c>
      <c r="B2" t="s">
        <v>7</v>
      </c>
      <c r="C2" t="s">
        <v>18</v>
      </c>
      <c r="D2" t="s">
        <v>28</v>
      </c>
      <c r="E2" t="s">
        <v>43</v>
      </c>
      <c r="F2" t="s">
        <v>103</v>
      </c>
      <c r="G2" t="s">
        <v>102</v>
      </c>
      <c r="H2" t="s">
        <v>70</v>
      </c>
      <c r="I2" t="s">
        <v>80</v>
      </c>
      <c r="J2" t="s">
        <v>90</v>
      </c>
    </row>
    <row r="3" spans="1:12" x14ac:dyDescent="0.25">
      <c r="A3" t="s">
        <v>0</v>
      </c>
      <c r="B3">
        <v>9</v>
      </c>
      <c r="C3">
        <v>9</v>
      </c>
      <c r="D3">
        <v>14</v>
      </c>
      <c r="E3">
        <v>9</v>
      </c>
      <c r="F3">
        <v>9</v>
      </c>
      <c r="G3">
        <v>8</v>
      </c>
      <c r="H3">
        <v>9</v>
      </c>
      <c r="I3">
        <v>9</v>
      </c>
      <c r="J3">
        <v>12</v>
      </c>
      <c r="K3">
        <f>SUM(B3:J3)</f>
        <v>88</v>
      </c>
    </row>
    <row r="4" spans="1:12" x14ac:dyDescent="0.25">
      <c r="A4" t="s">
        <v>1</v>
      </c>
      <c r="B4" s="2">
        <v>33.222000000000001</v>
      </c>
      <c r="C4" s="2">
        <f>(23+27+41+80+60+26+25+29+23)/9</f>
        <v>37.111111111111114</v>
      </c>
      <c r="D4" s="2">
        <f>(75+65+35+33+25+30+23+63+40+20+20+35+18+28)/14</f>
        <v>36.428571428571431</v>
      </c>
      <c r="E4">
        <f>(55+30+23+20+23+21+39)/9</f>
        <v>23.444444444444443</v>
      </c>
      <c r="F4" s="2">
        <f>(70+54+25+58+42+48+26+20+20)/9</f>
        <v>40.333333333333336</v>
      </c>
      <c r="G4" s="2">
        <f>(37+31+28+28+22+19+22+72+20+50)/8</f>
        <v>41.125</v>
      </c>
      <c r="H4">
        <f>(79+66+40+36+30+45+33+18+22)/9</f>
        <v>41</v>
      </c>
      <c r="I4" s="2">
        <f>(72+45+21+52+49+23+22+62+24)/9</f>
        <v>41.111111111111114</v>
      </c>
      <c r="J4" s="2">
        <f>(30+75+47+27+24+32+34+21+68+21+20+22)/12</f>
        <v>35.083333333333336</v>
      </c>
    </row>
    <row r="5" spans="1:12" x14ac:dyDescent="0.25">
      <c r="A5" t="s">
        <v>2</v>
      </c>
      <c r="B5">
        <v>68</v>
      </c>
      <c r="C5">
        <v>80</v>
      </c>
      <c r="D5">
        <v>75</v>
      </c>
      <c r="E5">
        <v>50</v>
      </c>
      <c r="F5">
        <v>70</v>
      </c>
      <c r="G5">
        <v>72</v>
      </c>
      <c r="H5">
        <v>79</v>
      </c>
      <c r="I5">
        <v>72</v>
      </c>
      <c r="J5">
        <v>75</v>
      </c>
    </row>
    <row r="7" spans="1:12" x14ac:dyDescent="0.25">
      <c r="B7" s="3">
        <f>((B4-30)*160)*((100-(50-B5))/100)*((100+B3)/100)</f>
        <v>663.06182400000023</v>
      </c>
      <c r="C7" s="3">
        <f t="shared" ref="C7:J7" si="0">((C4-30)*160)*((100-(50-C5))/100)*((100+C3)/100)</f>
        <v>1612.2311111111119</v>
      </c>
      <c r="D7" s="3">
        <f t="shared" si="0"/>
        <v>1465.7142857142862</v>
      </c>
      <c r="E7" s="3">
        <f t="shared" si="0"/>
        <v>-1143.2888888888892</v>
      </c>
      <c r="F7" s="3">
        <f t="shared" si="0"/>
        <v>2162.5600000000009</v>
      </c>
      <c r="G7" s="3">
        <f t="shared" si="0"/>
        <v>2345.328</v>
      </c>
      <c r="H7" s="3">
        <f t="shared" si="0"/>
        <v>2474.7360000000003</v>
      </c>
      <c r="I7" s="3">
        <f t="shared" si="0"/>
        <v>2364.0888888888899</v>
      </c>
      <c r="J7" s="3">
        <f t="shared" si="0"/>
        <v>1138.6666666666674</v>
      </c>
    </row>
    <row r="8" spans="1:12" x14ac:dyDescent="0.25">
      <c r="E8">
        <v>600</v>
      </c>
    </row>
    <row r="9" spans="1:12" x14ac:dyDescent="0.25">
      <c r="A9" t="s">
        <v>8</v>
      </c>
      <c r="B9" t="s">
        <v>9</v>
      </c>
      <c r="C9" t="s">
        <v>22</v>
      </c>
      <c r="D9" t="s">
        <v>29</v>
      </c>
      <c r="E9" t="s">
        <v>50</v>
      </c>
      <c r="F9" t="s">
        <v>46</v>
      </c>
      <c r="G9" t="s">
        <v>104</v>
      </c>
      <c r="H9" t="s">
        <v>71</v>
      </c>
      <c r="I9" t="s">
        <v>81</v>
      </c>
      <c r="J9" t="s">
        <v>91</v>
      </c>
    </row>
    <row r="10" spans="1:12" x14ac:dyDescent="0.25">
      <c r="B10" t="s">
        <v>10</v>
      </c>
      <c r="C10" t="s">
        <v>23</v>
      </c>
      <c r="D10" s="3" t="s">
        <v>30</v>
      </c>
      <c r="E10" t="s">
        <v>54</v>
      </c>
      <c r="F10" t="s">
        <v>47</v>
      </c>
      <c r="G10" t="s">
        <v>69</v>
      </c>
      <c r="H10" s="3" t="s">
        <v>72</v>
      </c>
      <c r="I10" s="3" t="s">
        <v>82</v>
      </c>
      <c r="J10" t="s">
        <v>92</v>
      </c>
    </row>
    <row r="11" spans="1:12" x14ac:dyDescent="0.25">
      <c r="B11" t="s">
        <v>11</v>
      </c>
      <c r="C11" t="s">
        <v>24</v>
      </c>
      <c r="D11" t="s">
        <v>31</v>
      </c>
      <c r="E11" t="s">
        <v>56</v>
      </c>
      <c r="F11" t="s">
        <v>48</v>
      </c>
      <c r="G11" t="s">
        <v>57</v>
      </c>
      <c r="H11" t="s">
        <v>73</v>
      </c>
      <c r="I11" t="s">
        <v>83</v>
      </c>
      <c r="J11" t="s">
        <v>93</v>
      </c>
    </row>
    <row r="12" spans="1:12" x14ac:dyDescent="0.25">
      <c r="B12" t="s">
        <v>12</v>
      </c>
      <c r="C12" t="s">
        <v>25</v>
      </c>
      <c r="D12" t="s">
        <v>32</v>
      </c>
      <c r="E12" t="s">
        <v>58</v>
      </c>
      <c r="F12" t="s">
        <v>49</v>
      </c>
      <c r="G12" t="s">
        <v>66</v>
      </c>
      <c r="H12" t="s">
        <v>74</v>
      </c>
      <c r="I12" t="s">
        <v>84</v>
      </c>
      <c r="J12" t="s">
        <v>94</v>
      </c>
    </row>
    <row r="13" spans="1:12" x14ac:dyDescent="0.25">
      <c r="B13" t="s">
        <v>13</v>
      </c>
      <c r="C13" t="s">
        <v>26</v>
      </c>
      <c r="D13" t="s">
        <v>33</v>
      </c>
      <c r="E13" t="s">
        <v>59</v>
      </c>
      <c r="F13" t="s">
        <v>53</v>
      </c>
      <c r="G13" t="s">
        <v>67</v>
      </c>
      <c r="H13" t="s">
        <v>75</v>
      </c>
      <c r="I13" t="s">
        <v>85</v>
      </c>
      <c r="J13" t="s">
        <v>95</v>
      </c>
    </row>
    <row r="14" spans="1:12" x14ac:dyDescent="0.25">
      <c r="B14" t="s">
        <v>14</v>
      </c>
      <c r="C14" t="s">
        <v>27</v>
      </c>
      <c r="D14" t="s">
        <v>34</v>
      </c>
      <c r="E14" t="s">
        <v>60</v>
      </c>
      <c r="F14" t="s">
        <v>52</v>
      </c>
      <c r="G14" t="s">
        <v>44</v>
      </c>
      <c r="H14" t="s">
        <v>76</v>
      </c>
      <c r="I14" t="s">
        <v>86</v>
      </c>
      <c r="J14" t="s">
        <v>96</v>
      </c>
    </row>
    <row r="15" spans="1:12" x14ac:dyDescent="0.25">
      <c r="B15" t="s">
        <v>15</v>
      </c>
      <c r="C15" t="s">
        <v>21</v>
      </c>
      <c r="D15" t="s">
        <v>35</v>
      </c>
      <c r="E15" t="s">
        <v>61</v>
      </c>
      <c r="F15" t="s">
        <v>55</v>
      </c>
      <c r="G15" s="3" t="s">
        <v>45</v>
      </c>
      <c r="H15" t="s">
        <v>77</v>
      </c>
      <c r="I15" t="s">
        <v>87</v>
      </c>
      <c r="J15" t="s">
        <v>97</v>
      </c>
      <c r="L15" s="4"/>
    </row>
    <row r="16" spans="1:12" x14ac:dyDescent="0.25">
      <c r="B16" t="s">
        <v>16</v>
      </c>
      <c r="C16" t="s">
        <v>20</v>
      </c>
      <c r="D16" t="s">
        <v>36</v>
      </c>
      <c r="E16" t="s">
        <v>63</v>
      </c>
      <c r="F16" t="s">
        <v>64</v>
      </c>
      <c r="G16" t="s">
        <v>51</v>
      </c>
      <c r="H16" t="s">
        <v>78</v>
      </c>
      <c r="I16" t="s">
        <v>88</v>
      </c>
      <c r="J16" t="s">
        <v>98</v>
      </c>
    </row>
    <row r="17" spans="1:10" x14ac:dyDescent="0.25">
      <c r="B17" t="s">
        <v>17</v>
      </c>
      <c r="C17" t="s">
        <v>19</v>
      </c>
      <c r="D17" t="s">
        <v>37</v>
      </c>
      <c r="E17" t="s">
        <v>68</v>
      </c>
      <c r="F17" t="s">
        <v>65</v>
      </c>
      <c r="H17" t="s">
        <v>79</v>
      </c>
      <c r="I17" t="s">
        <v>89</v>
      </c>
      <c r="J17" t="s">
        <v>99</v>
      </c>
    </row>
    <row r="18" spans="1:10" x14ac:dyDescent="0.25">
      <c r="D18" t="s">
        <v>38</v>
      </c>
      <c r="J18" t="s">
        <v>100</v>
      </c>
    </row>
    <row r="19" spans="1:10" x14ac:dyDescent="0.25">
      <c r="D19" t="s">
        <v>39</v>
      </c>
      <c r="J19" t="s">
        <v>101</v>
      </c>
    </row>
    <row r="20" spans="1:10" x14ac:dyDescent="0.25">
      <c r="D20" t="s">
        <v>40</v>
      </c>
      <c r="J20" t="s">
        <v>62</v>
      </c>
    </row>
    <row r="21" spans="1:10" x14ac:dyDescent="0.25">
      <c r="D21" t="s">
        <v>41</v>
      </c>
    </row>
    <row r="22" spans="1:10" x14ac:dyDescent="0.25">
      <c r="D22" t="s">
        <v>42</v>
      </c>
    </row>
    <row r="24" spans="1:10" x14ac:dyDescent="0.25">
      <c r="B24" s="1" t="s">
        <v>3</v>
      </c>
    </row>
    <row r="26" spans="1:10" x14ac:dyDescent="0.25">
      <c r="A26" s="4"/>
    </row>
    <row r="30" spans="1:10" x14ac:dyDescent="0.25">
      <c r="H3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Eric Weirich</dc:creator>
  <cp:lastModifiedBy>Jens Eric Weirich</cp:lastModifiedBy>
  <dcterms:created xsi:type="dcterms:W3CDTF">2026-07-09T16:54:09Z</dcterms:created>
  <dcterms:modified xsi:type="dcterms:W3CDTF">2026-07-09T20:16:01Z</dcterms:modified>
</cp:coreProperties>
</file>