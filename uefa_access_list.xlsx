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Jens\Documents\fussball-agent-app\FootballAgent\"/>
    </mc:Choice>
  </mc:AlternateContent>
  <xr:revisionPtr revIDLastSave="0" documentId="13_ncr:1_{A33A2E03-607A-4B00-87FF-DA4392C039C5}" xr6:coauthVersionLast="47" xr6:coauthVersionMax="47" xr10:uidLastSave="{00000000-0000-0000-0000-000000000000}"/>
  <bookViews>
    <workbookView xWindow="-120" yWindow="-120" windowWidth="29040" windowHeight="15720" tabRatio="500" activeTab="2" xr2:uid="{00000000-000D-0000-FFFF-FFFF00000000}"/>
  </bookViews>
  <sheets>
    <sheet name="UCL" sheetId="1" r:id="rId1"/>
    <sheet name="UEL" sheetId="2" r:id="rId2"/>
    <sheet name="UECL"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9" i="3" l="1"/>
  <c r="C14" i="3"/>
  <c r="C19" i="2"/>
  <c r="C14" i="2"/>
  <c r="C18" i="1"/>
  <c r="C14" i="1"/>
  <c r="C19" i="1" s="1"/>
  <c r="C20" i="3" l="1"/>
  <c r="C20" i="2"/>
</calcChain>
</file>

<file path=xl/sharedStrings.xml><?xml version="1.0" encoding="utf-8"?>
<sst xmlns="http://schemas.openxmlformats.org/spreadsheetml/2006/main" count="609" uniqueCount="222">
  <si>
    <t>UEFA Champions League — Simplified Access List</t>
  </si>
  <si>
    <t>36-team league phase · fixed association quotas, no coefficient bonus places</t>
  </si>
  <si>
    <t>Assoc. rank</t>
  </si>
  <si>
    <t>Association</t>
  </si>
  <si>
    <t>Teams</t>
  </si>
  <si>
    <t>Qualification mode</t>
  </si>
  <si>
    <t>Entry stage</t>
  </si>
  <si>
    <t>England</t>
  </si>
  <si>
    <t>Premier League 1st–5th</t>
  </si>
  <si>
    <t>League phase (direct)</t>
  </si>
  <si>
    <t>Spain</t>
  </si>
  <si>
    <t>La Liga 1st–5th</t>
  </si>
  <si>
    <t>Italy</t>
  </si>
  <si>
    <t>Serie A 1st–4th</t>
  </si>
  <si>
    <t>Germany</t>
  </si>
  <si>
    <t>Bundesliga 1st–4th</t>
  </si>
  <si>
    <t>France</t>
  </si>
  <si>
    <t>Ligue 1 1st–3rd</t>
  </si>
  <si>
    <t>Netherlands</t>
  </si>
  <si>
    <t>Eredivisie 1st–2nd</t>
  </si>
  <si>
    <t>Portugal</t>
  </si>
  <si>
    <t>Liga Portugal 1st–2nd</t>
  </si>
  <si>
    <t>Belgium</t>
  </si>
  <si>
    <t>Champion</t>
  </si>
  <si>
    <t>Switzerland</t>
  </si>
  <si>
    <t>Subtotal — direct league-phase entrants</t>
  </si>
  <si>
    <t>PLACES FILLED VIA QUALIFYING</t>
  </si>
  <si>
    <t>—</t>
  </si>
  <si>
    <t>League phase (via qualifying)</t>
  </si>
  <si>
    <t>Subtotal — places filled via qualifying / drop-down</t>
  </si>
  <si>
    <t>TOTAL — league phase</t>
  </si>
  <si>
    <t>Czechia</t>
  </si>
  <si>
    <t>Türkiye</t>
  </si>
  <si>
    <t>Greece</t>
  </si>
  <si>
    <t>Norway</t>
  </si>
  <si>
    <t>Austria</t>
  </si>
  <si>
    <t>Denmark</t>
  </si>
  <si>
    <t>Poland</t>
  </si>
  <si>
    <t>Scotland</t>
  </si>
  <si>
    <t>Ukraine</t>
  </si>
  <si>
    <t>Israel</t>
  </si>
  <si>
    <t>Serbia</t>
  </si>
  <si>
    <t>Assumption: no coefficient ('European Performance Spot') places. The two extra berths that would go to the best-performing associations are instead baked in permanently as England's 5th and Spain's 5th place.</t>
  </si>
  <si>
    <t>Assumption: no separate title-holder berth — the UCL and UEL holders are assumed to qualify through their domestic league.</t>
  </si>
  <si>
    <t>Switzerland is fixed at association rank 9, which is the lowest rank that still carries an automatic UCL league-phase spot for the champion.</t>
  </si>
  <si>
    <t>Numbers in column C are the design spec supplied by the user; subtotals and the total are live formulas.</t>
  </si>
  <si>
    <t>UEFA Europa League — Simplified Access List</t>
  </si>
  <si>
    <t>Premier League 6th + FA Cup winner</t>
  </si>
  <si>
    <t>La Liga 6th + Copa del Rey winner</t>
  </si>
  <si>
    <t>Serie A 5th + Coppa Italia winner</t>
  </si>
  <si>
    <t>Bundesliga 5th + DFB-Pokal winner</t>
  </si>
  <si>
    <t>Ligue 1 4th + Coupe de France winner</t>
  </si>
  <si>
    <t>PLACES FILLED VIA QUALIFYING / DROP-DOWN</t>
  </si>
  <si>
    <t>League phase (drop-down)</t>
  </si>
  <si>
    <t>UEL qualifying</t>
  </si>
  <si>
    <t>UEFA Conference League — Simplified Access List</t>
  </si>
  <si>
    <t>La Liga 7th</t>
  </si>
  <si>
    <t>Serie A 6th</t>
  </si>
  <si>
    <t>Bundesliga 6th</t>
  </si>
  <si>
    <t>Ligue 1 5th</t>
  </si>
  <si>
    <t>UEL drop-down</t>
  </si>
  <si>
    <t>UECL qualifying</t>
  </si>
  <si>
    <t>Qualifying mode: 3rd placed teams from Portugal and Netherlands, 2nd Placed teams from Belgium and Switzerland, and 14 of the first placed teams from Czechia, Türkiye, Greece, Norway, Austria, Denmark, Poland, Scotland, Ukraine, Serbia, Croatia, Cyprus, Sweden, Hungary, Romania, Slovakia, Slovenia, Bulgaria, and Ireland all enter UCL qualifying (18 teams). The 9 teams that win a two legged tie enter the UCL. The 9 that lose go into the UEL.</t>
  </si>
  <si>
    <t xml:space="preserve">UCL drop-down </t>
  </si>
  <si>
    <t>If the cup winner is placed in a spot that would have qualified either way (for the UCL or UEL), the UEL (and UECL) place drops down one</t>
  </si>
  <si>
    <t>I.e. If The Bayern win the DFB Pokal and Bundesliga, the 5th and 6th place teams from the Bundesliga enter the UEL, and the 7th enters the UECL</t>
  </si>
  <si>
    <t>Schweizer Cup winner</t>
  </si>
  <si>
    <t>Cup winner</t>
  </si>
  <si>
    <t>UCL Qualifiers</t>
  </si>
  <si>
    <t>3. Round: 9 + 9 Seeded</t>
  </si>
  <si>
    <t>Cyprus</t>
  </si>
  <si>
    <t>Hungary</t>
  </si>
  <si>
    <t>Sweden</t>
  </si>
  <si>
    <t>Romania</t>
  </si>
  <si>
    <t>Croatia</t>
  </si>
  <si>
    <t>Slovenia</t>
  </si>
  <si>
    <t>Azerbaijan</t>
  </si>
  <si>
    <t>Slovakia</t>
  </si>
  <si>
    <t>Bulgaria</t>
  </si>
  <si>
    <t>Russia</t>
  </si>
  <si>
    <t>Iceland</t>
  </si>
  <si>
    <t>Ireland</t>
  </si>
  <si>
    <t>Armenia</t>
  </si>
  <si>
    <t>Bosnia</t>
  </si>
  <si>
    <t>Kosovo</t>
  </si>
  <si>
    <t>Kazakhstan</t>
  </si>
  <si>
    <t>Finland</t>
  </si>
  <si>
    <t>Latvia</t>
  </si>
  <si>
    <t>Moldova</t>
  </si>
  <si>
    <t>Faroe Islands</t>
  </si>
  <si>
    <t>Liechtenstein</t>
  </si>
  <si>
    <t>North Macedonia</t>
  </si>
  <si>
    <t>Malta</t>
  </si>
  <si>
    <t>Albania</t>
  </si>
  <si>
    <t>Belarus</t>
  </si>
  <si>
    <t>Lithuania</t>
  </si>
  <si>
    <t>Gibraltar</t>
  </si>
  <si>
    <t>Andorra</t>
  </si>
  <si>
    <t>Northern Ireland</t>
  </si>
  <si>
    <t>Montenegro</t>
  </si>
  <si>
    <t>Luxembourg</t>
  </si>
  <si>
    <t>Georgia</t>
  </si>
  <si>
    <t>Estonia</t>
  </si>
  <si>
    <t>Wales</t>
  </si>
  <si>
    <t>San Marino</t>
  </si>
  <si>
    <t>1. Round: 18</t>
  </si>
  <si>
    <t>unseeded</t>
  </si>
  <si>
    <t>seeded</t>
  </si>
  <si>
    <t>0 in round 0</t>
  </si>
  <si>
    <t>(no national competition)</t>
  </si>
  <si>
    <t>POOL FOR THE 9 QUALIFYING PLACES</t>
  </si>
  <si>
    <t>5. Round: 9 + 9 Seeded</t>
  </si>
  <si>
    <t xml:space="preserve">4. Round: 9 + 9 Seeded </t>
  </si>
  <si>
    <t>2. Round: 18</t>
  </si>
  <si>
    <t>9 + 9 Seeded</t>
  </si>
  <si>
    <t>Tre Fiori FC (Rep: 52 (50%)), AC Virtus (Rep: 51(20%)), Tre Penne (Rep: 52(20%)), La Fiorita (Rep: 50 (10%)).</t>
  </si>
  <si>
    <t>5. Round: 11 + 11 Seeded</t>
  </si>
  <si>
    <t xml:space="preserve">4. Round: 11 +11 Seeded </t>
  </si>
  <si>
    <t>3rd Placed from PO&amp;NL (seeded round 5) + 2nd placed from BE&amp;CH (seeded round 5) + 1 placed from all other UEFA countries.</t>
  </si>
  <si>
    <t>POOL FOR THE 11 QUALIFYING PLACES</t>
  </si>
  <si>
    <t>2nd place seeded in round 4</t>
  </si>
  <si>
    <t>4 from NL/PO/BE/CH + 7 from Türkiye-Cyprus</t>
  </si>
  <si>
    <t>9 losers from round 4 of the UCL qualifiers + 2 from HU &amp; SC</t>
  </si>
  <si>
    <t>3. Round: 11 + 11 Seeded</t>
  </si>
  <si>
    <t>1st place seeded in round 5, 2nd in round 3</t>
  </si>
  <si>
    <t>1st in round 1</t>
  </si>
  <si>
    <t>9 (4 from PO/NL/BE/CH + 5 from TU-DK)</t>
  </si>
  <si>
    <t>9 (from NO-UA)</t>
  </si>
  <si>
    <t>9 (from TU-DK and SL-BU)</t>
  </si>
  <si>
    <t>9 (from IS-KZ)</t>
  </si>
  <si>
    <t>Cupwinner seeded in round 5, 3rd place seeded in round 3</t>
  </si>
  <si>
    <t>4 SW-HR + 7 TU-CY</t>
  </si>
  <si>
    <t>2. Round:  11 + 11 Seeded</t>
  </si>
  <si>
    <t>11 UA-AR</t>
  </si>
  <si>
    <t>Cupwinner in round 1</t>
  </si>
  <si>
    <t>2nd place in round 1</t>
  </si>
  <si>
    <t>22 (BIH-SM)</t>
  </si>
  <si>
    <t>Super League 4th</t>
  </si>
  <si>
    <t>League 4th</t>
  </si>
  <si>
    <t>Losers of the UCL qualifiers round 5</t>
  </si>
  <si>
    <t>Losers of the Europa League qualifiers round 5</t>
  </si>
  <si>
    <t>1. Round: 32</t>
  </si>
  <si>
    <t>11 losers from round 4 of the UEL qualifiers + 5 from TU-DK</t>
  </si>
  <si>
    <t>4th place seeded in round 4</t>
  </si>
  <si>
    <t xml:space="preserve"> 1-2 from all other UEFA countries.</t>
  </si>
  <si>
    <t>-</t>
  </si>
  <si>
    <t>Played in:</t>
  </si>
  <si>
    <t>Week 2</t>
  </si>
  <si>
    <t>Week 3</t>
  </si>
  <si>
    <t>Week 4</t>
  </si>
  <si>
    <t>Week 5</t>
  </si>
  <si>
    <t>Week 6</t>
  </si>
  <si>
    <t>Week 1</t>
  </si>
  <si>
    <t>3rd place seeded in round 3</t>
  </si>
  <si>
    <t>Premier League 7th</t>
  </si>
  <si>
    <t>4th place seeded in round 3</t>
  </si>
  <si>
    <t>3rd place seeded in round 2</t>
  </si>
  <si>
    <t>1st seeded in round 4</t>
  </si>
  <si>
    <t>1st seeded in round 3</t>
  </si>
  <si>
    <t>1st seeded in round 2</t>
  </si>
  <si>
    <t>2nd place seeded in round 3</t>
  </si>
  <si>
    <t>2nd place seeded in round 2</t>
  </si>
  <si>
    <t>3rd place in round 1</t>
  </si>
  <si>
    <t>2. Round: 16 + 16 Seeded</t>
  </si>
  <si>
    <t xml:space="preserve">3. Round: 16 +16 Seeded </t>
  </si>
  <si>
    <t>4. Round: 16 + 16 Seeded</t>
  </si>
  <si>
    <t>11 losers from round 3 of UEL qualifiers + 5 from NO-SW</t>
  </si>
  <si>
    <t>9 losers from round 3 of the UCL qualifiers + 7 from AT &amp; SK</t>
  </si>
  <si>
    <t>4th place seeded in round 4, 5th place in round 1</t>
  </si>
  <si>
    <t>32 (5th from TU-PO and 3rd from BU-SM)</t>
  </si>
  <si>
    <t>FC Flora (Rep: 53 (60%)), FCI Levadia (Rep: 51 (25%)), Nõmme Kalju FC (Rep: 47 (10%), Paide Linnameeskond (Rep: 47 (5%))</t>
  </si>
  <si>
    <t>The New Saints FC (Rep: 52 (70%)), Connah's Quay Nomads (Rep: 50(24%)), Penybont FC (Rep: 49 (5%)), Barry Town United (Rep: 45 (1%))</t>
  </si>
  <si>
    <t>Iberia 1999 (Rep: 50 (30%)), Dinamo Batumi (Rep: 50 (25%)), Dinamo Tbilisi (Rep: 53 (37%)), Dila Gori (Rep: 48 (8%))</t>
  </si>
  <si>
    <t>Swift Hesperange (Rep: 52 (25%)), FC Differdingen 03 (Rep: 52 (25%)), F91 Düdelingen (Rep: 52 (25%)), Jeunesse Esch (Rep: 49 (15%)), CS Fola Esch (Rep: 49 (5%)), Atert Bissen (Rep: 47 (5%))</t>
  </si>
  <si>
    <t>FK Budućnost Podgorica (Rep: 51 (40%)), FK Dečić Tuzi (Rep: 48 (15%)), FK Sutjeska Nikšić (Rep: 50 (25%)), FK Mogren Budva (Rep: 46 (10%)), FK Rudar Pljevlja (Rep: 45 (10%))</t>
  </si>
  <si>
    <t>Linfield FC (Rep: 52 (40%)), Larne FC (Rep: 51 (30%)), Crusaders FC (Rep: 48 (15%)), Cliftonville FC (Rep: 47 (10%)), Glentoran FC (Rep: 46 (5%))</t>
  </si>
  <si>
    <t>Inter Club d’Escaldes (Rep: 51 (33%)), UE Santa Coloma (Rep: 50 (27%)), Atlètic Club d’Escaldes (Rep: 49 (20%)), FC Santa Coloma (Rep: 48 (15%)), FC Rànger’s (Rep: 45 (5%))</t>
  </si>
  <si>
    <t>Lincoln Red Imps FC (Rep: 50 (80%)), St Joseph’s FC (Rep: 48 (10%)), Europa FC (Rep: 47 (5%)), Mons Calpe SC (Rep: 45 (3%)), Manchester 62 FC (Rep: 42 (2%))</t>
  </si>
  <si>
    <t>FK Kauno Žalgiris (Rep: 58 (25%)), FK Žalgiris (Rep: 55 (30%)), FC Hegelmann (Rep: 50 (10%)), FK Panevėžys (Rep: 49 (15%)), FK Sūduva (Rep: 47 (10%)), FA Šiauliai (Rep: 46 (10%))</t>
  </si>
  <si>
    <t>Dinamo Minsk (Rep: 70 (30%)), FK Maxline Wizebsk (Rep: 57 (15%)), BATE Borisov (Rep: 64 (30%)), FC Shakhtyor Soligorsk (Rep: 51 (15%)), FK Njoman Hrodna (Rep: 50 (10%))</t>
  </si>
  <si>
    <t>KF Egnatia (Rep: 59 (20%)), KF Vllaznia (Rep: 57 (20%)), FK Partizani (Rep: 56 (20%)), KF Skënderbeu (Rep: 55 (20%)), KF Tirana (Rep: 53 (20%))</t>
  </si>
  <si>
    <t>Ħamrun Spartans (Rep: 52 (30%)), FC Floriana (Rep: 55 (30%)), Hibernians Paopla (Rep: 50 (20%)), FC Valletta (Rep: 48 (15%)), FC Birkirkara (Rep: 45 (5%))</t>
  </si>
  <si>
    <t>Vardar Skopje (Rep: 57 (30%)), KF Shkëndija (Rep: 55 (30%)), FC Struga (Rep: 52 (20%)), FC Shkupi (Rep: 50 (15%)), Akademija Pandev (Rep: 48 (5%))</t>
  </si>
  <si>
    <t>KÍ Klaksvík (Rep: 63 (50%)), Víkingur (Rep: 58 (20%)), Havnar Bóltfelag (Rep: 53 (20%)), NSÍ Runavík (Rep: 50 (5%)), B36 Tórshavn (Rep: 52 (5%))</t>
  </si>
  <si>
    <t>Petrocub Hîncești (Rep: 62 (25%)), Sheriff Tiraspol (Rep: 68 (45%)), Milsami Orhei (Rep: 58 (15%)), Zimbru Chișinău (Rep: 54 (10%)), Sfântul Gheorghe (Rep: 50 (5%))</t>
  </si>
  <si>
    <t>Riga FC (Rep: 61 (35%)), FK RFS (Rep: 59 (30%)), Valmiera FC (Rep: 56 (20%)), FK Spartans (Rep: 53 (10%)), FK Ventspils (Rep: 52 (3%)), FK Liepaja (Rep: 51 (2%))</t>
  </si>
  <si>
    <t xml:space="preserve">KuPS (Rep: 64 (35%)), HJK (Rep: 62 (30%)), Ilves (Rep: 60 (20%)), FC Inter Turku (Rep: 59 (10%), VPS (Rep: 56 (3%)), FC Honka (Rep: 52 (2%)) </t>
  </si>
  <si>
    <t>(Cupwinner (Liechtensteiner Pokal)</t>
  </si>
  <si>
    <t>Dinamo Minsk (Rep: 68 (30%)), FK Maxline Wizebsk (Rep: 57 (15%)), BATE Borisov (Rep: 64 (30%)), FC Shakhtyor Soligorsk (Rep: 51 (15%)), FK Njoman Hrodna (Rep: 50 (10%))</t>
  </si>
  <si>
    <t>Kairat Almaty (Rep: 69 (30%)), Astana FK (Rep: 66 (30%)), FC Ordabasy (Rep: 62 (20%)), FC Tobol (Rep: 62 (10%)), FC Aktobe (Rep: 60 (7%)), FC Irtysh (Rep: 57 (3%))</t>
  </si>
  <si>
    <t>FC Drita (Rep: 65 (35%)), FC Ballkani (Rep: 63 (30%)), FC Prishtina (Rep: 62 (20%)), FC Feronikeli 74 (Rep: 62 (10%)), KF Trepça '89 (Rep: 60 (3%)), FC Vushtrria (Rep: 58 (2%))</t>
  </si>
  <si>
    <t>FK Borac (Rep: 67 (30%)), HŠK Zrinjski (Rep: 69 (35%)), FK Sarajevo (Rep: 66 (20%)), FK Velež (Rep: 63 (10%)), FK Željezničar (Rep: 62 (3%)), FK Tuzla City (Rep: 59 (2%))</t>
  </si>
  <si>
    <t>FC Ararat-Armenia (Rep: 69 (30%)), FC Noah (Rep: 69 (30%)), FC Pyunik (Rep: 67 (20%)), FC Urartu (Rep: 63 (10%)), FC Alashkert (Rep: 58 (8%)), FC Gandzasar (Rep: 55 (2%))</t>
  </si>
  <si>
    <t>Shamrock Rovers (Rep: 70 (55%)), Shelbourne FC (Rep: 65 (10%)), Derry City FC (Rep: 63 (10%)), St. Patrick's Athletic (Rep: 60 (10%)), Dundalk FC (Rep: 60 (10%)), Bohemians FC (Rep: 60 (5%))</t>
  </si>
  <si>
    <t>Hapoel Be’er Scheva (Rep: 67 (25%)), Maccabi Tel Aviv (Rep: 67 (25%)), Maccabi Haifa (Rep: 67 (25%)), Beitar Jerusalem (Rep: 62 (15%)), FC Ashdod (Rep: 59 (5%)), Ironi Kiryat Shmona (Rep: 59 (5%))</t>
  </si>
  <si>
    <t>Zenit (Rep: 74 (55%)), FC Krasnodar (Rep: 70 (14%)), Lokomotiv Moscow (Rep: 70 (14%)), CSKA Moscow (Rep: 70 (14%)), Dynamo Moscow (Rep: 68 (8%)), Spartak Moscow (Rep: 67 (3%)), FC Sochi (Rep: 66 (2%))</t>
  </si>
  <si>
    <t>Crvena zvezda (Rep: 77 (60%)), FK Partizan (Rep: 74 (20%)), FK Vojvodina (Rep: 72 (8%)), FK Novi Pazar (Rep: 65 (4%)), FK TSC (Rep: 65 (4%)), FK Čukarički (Rep: 68 (4%))</t>
  </si>
  <si>
    <t>Víkingur (Rep: 70 (30%)), Breiðablik (Rep: 70 (30%)), Valur (Rep: 68 (20%)), KR (Rep: 67 (10%)), FH (Rep: 66 (7%)), Stjarnan (Rep: 65 (3%))</t>
  </si>
  <si>
    <t>Ludogorets Razgrad (Rep: 75 (45%)), Levski Sofia (Rep: 68 (15%)), CSKA 1948 (Rep: 68 (15%)), CSKA Sofia (Rep: 71 (20%)), Cherno More (Rep: 64 (3%)), Botev Plovdiv (Rep: 64 (2%))</t>
  </si>
  <si>
    <t xml:space="preserve">Slovan Bratislava (Rep: 75 (60%)), FC DAC 1904 (Rep: 69 (15%)), Spartak Trnava (Rep: 69 (10%)), MŠK Žilina (Rep: 68 (9%)), Ružomberok (Rep: 64 (3%)), AS Trenčín (Rep: 64 (3%)) </t>
  </si>
  <si>
    <t>Sabah (Rep: 71 (15%)), Qarabağ (Rep: 75 (60%)), Zira (Rep: 69 (10%)), Turan Tovuz (Rep: 67 (9%)), Araz-Naxçıvan (Rep: 65 (3%)), Neftçi (Rep: 65 (3%))</t>
  </si>
  <si>
    <t>NK Celje (Rep: 73 (25%)), FC Koper (Rep: 68 (15%)), Olimpija Ljubljana (Rep: 71 (25%)), NK Maribor (Rep: 71 (25%)), NŠ Mura (Rep: 65 (5%)), Gorica (Rep: 65 (5%))</t>
  </si>
  <si>
    <t xml:space="preserve">Shakhtar Donetsk (Rep: 78 (35%)), Dynamo Kyiv (Rep: 75 (25%)), LNZ Cherkasy (Rep: 69 (10%)), Oleksandriya (Rep: 69 (10%)), Polissya Zhytomyr (Rep: 69 (10%)), Zorya Luhansk (Rep: 69 (10%)) </t>
  </si>
  <si>
    <t>Dinamo Zagreb (Rep: 78 (55%)), Hajduk Split (Rep: 75 (15%)), HNK Rijeka (Rep: 73 (10%)), NK Varaždin (Rep: 71 (5%)), NK Osijek (Rep: 73 (10%)), NK Lokomotiva (Rep: 71 (5%))</t>
  </si>
  <si>
    <t>Universitatea Craiova (Rep: 74 (22%)), FCSB (Rep: 74 (25%)), Universitatea Cluj (Rep: 70 (12%)), CFT Cluj (Rep: 74 (25%)), Farul Constanța (Rep: 70 (11%)), Astra Giurgiu (Rep: 65 (5%))</t>
  </si>
  <si>
    <t>LASK (Rep: 75 (15%)), Sturm Graz (Rep: 76 (20%)), Red Bull Salzburg (Rep: 76 (25%)), Rapid Wien (Rep: 74 (15%)), Austria Wien (Rep: 73 (15%)), Wolfsberg AC (Rep: 71 (10%))</t>
  </si>
  <si>
    <t>Malmö FF (Rep: 77 (30%)), Hammarby IF (Rep: 74 (14%)), IF Elfsborg (Rep: 74 (14%)), BK Häcken (Rep: 74 (14%)), Djurgårdens IF (Rep: 74 (14%)), AIK (Rep 72 (7%)), IFK Norrköping (Rep: 72 (6%)), Mjällby AIF (Rep: 70 (1%))</t>
  </si>
  <si>
    <t>Celtic (Rep: 79 (65%)), Rangers (Rep: 77 (25%)), Heart of Midlothian (Rep: 72 (2%)), Hibernian (Rep: 72 (2%)), Aberdenn (Rep: 72 (2%)), Motherwell (Rep: 72 (2%)), Kilmarnock (Rep: 72 (2%))</t>
  </si>
  <si>
    <t>Ferencváros (Rep: 76 (50%)), Puskás Akadémia (Rep: 74 (10%)), Győr (Rep: 73 (10%)), Paks (Rep: 72 (10%)), Debrecen (Rep: 72 (10%)), Újpest (Rep: 70 (2%)), Kecskemét (Rep: 70 (2%)), Kisvárda (Rep: 70 (2%)), Fehérvár (Rep: 70 (2%)), Videoton (Rep: 70 (2%))</t>
  </si>
  <si>
    <t>Omonia (Rep: 75 (20%)), Pafos (Rep: 74 (15%)), APOEL (Rep: 76 (30%)), Aris Limassol (Rep: 74 (15%)), Apollon Limassol (Rep: 74 (15%)), AEK Larnaca (Rep: 72 (4%)), Anorthosis Famagusta (Rep: 70 (1%))</t>
  </si>
  <si>
    <t>Viking FK (Rep: 72 (10%)), Bodø/Glimt (Rep: 78 (25%)), Tromsø (Rep: 71 (15%)), Brann (Rep: 71 (10%)), Molde (Rep: 73 (15%)), Rosenborg (Rep: 72 (10%)), Vålerenga (Rep: 70 (5%)), Sarpsborg 08 (Rep: 68 (5%)), Odds Ballklubb (Rep: 67 (5%))</t>
  </si>
  <si>
    <t>AGF (Rep: 73 (10%)), F.C. København (Rep: 78 (35%)), FC Midtjylland (Rep: 76 (20%)), Brøndby (Rep: 74 (15%)), FC Nordsjælland (Rep: 73 (10%)), Viborg (Rep: 70 (4%)), Randers FC (Rep: 70 3%)), Odense Boldklub (Rep: 70 (3%))</t>
  </si>
  <si>
    <t>Lech Poznań  (Rep: 75 (35%)), Górnik Zabrze (Rep: 71 (10%)), Jagiellonia (Rep: 71 (10%)), Legia Warsaw (Rep: 71 (10%)), Raków (Rep: 71 (10%)), Pogoń Szczecin (Rep: 71 (10%)), Śląsk Wrocław (Rep: 71 (10%)), Piast Gliwice (Rep: 71 (5%))</t>
  </si>
  <si>
    <t>AEK Athens (Rep: 75 (25%)), Olympiacos (Rep: 78 (35%)), PAOK (Rep: 74 (21%)), Panathinaikos (Rep: 72 (15%)), Aris (Rep: 71 (3%)), Levadiakos (Rep: 70 (1%)), OFI (Rep: 69 (1%)), Volos (Rep: 69 (1%))</t>
  </si>
  <si>
    <t>Slavia Prague (Rep: 76 (25%)), Sparta Prague (Rep: 76 (25%)), Viktoria Plzeň (Rep: 74 (15%)), Jablonec 73 (15%)), Baník Ostrava (Rep: 70 (3%)), Slovan Liberec (Rep: 69 (7%)), Sigma Olomouc (Rep: 68 (3%)), Mladá Boleslav (Rep: 66 (3%)), Bohemians 1905 (Rep: 66 (3%)), Hradec Králové (Rep: 67 (2%))</t>
  </si>
  <si>
    <t>Galatasaray (Rep: 81 (50%)), Fenerbahçe (Rep: 78 (19%)), Trabzonspor (Rep: 77 (10%)), Beşiktaş (Rep: 78 (15%)), Konyaspor (Rep: 72 (2%)), İstanbul Başakşehir (Rep: 72 (2%)), Samsunspor (Rep: 71 (1%)), Göztepe (Rep: 70 (1%))</t>
  </si>
  <si>
    <t>1. Round: 22</t>
  </si>
  <si>
    <t>Eredivisie 4th + KNVB Beker winner</t>
  </si>
  <si>
    <t>Liga Portugal 4th + Taça de Portugal winner</t>
  </si>
  <si>
    <t>5th Placed from PO&amp;NL (seeded) + 3rd placed from BE&amp;CH (seeded) + 1-2 from all other UEFA countries.</t>
  </si>
  <si>
    <t>Eredivisie 6th</t>
  </si>
  <si>
    <t>Liga Portugal 6th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</si>
</sst>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charset val="1"/>
    </font>
    <font>
      <sz val="10"/>
      <name val="Arial"/>
      <family val="2"/>
    </font>
    <font>
      <b/>
      <sz val="14"/>
      <name val="Arial"/>
      <family val="2"/>
    </font>
    <font>
      <i/>
      <sz val="9"/>
      <color rgb="FF595959"/>
      <name val="Arial"/>
      <family val="2"/>
    </font>
    <font>
      <b/>
      <sz val="10"/>
      <color rgb="FFFFFFFF"/>
      <name val="Arial"/>
      <family val="2"/>
    </font>
    <font>
      <sz val="10"/>
      <name val="Arial"/>
      <family val="2"/>
    </font>
    <font>
      <b/>
      <sz val="10"/>
      <name val="Arial"/>
      <family val="2"/>
    </font>
    <font>
      <sz val="8"/>
      <name val="Calibri"/>
      <family val="2"/>
      <charset val="1"/>
    </font>
  </fonts>
  <fills count="16">
    <fill>
      <patternFill patternType="none"/>
    </fill>
    <fill>
      <patternFill patternType="gray125"/>
    </fill>
    <fill>
      <patternFill patternType="solid">
        <fgColor rgb="FF404040"/>
        <bgColor rgb="FF333300"/>
      </patternFill>
    </fill>
    <fill>
      <patternFill patternType="solid">
        <fgColor rgb="FFF8CBCB"/>
        <bgColor rgb="FFF2B8D8"/>
      </patternFill>
    </fill>
    <fill>
      <patternFill patternType="solid">
        <fgColor rgb="FFFBE2A8"/>
        <bgColor rgb="FFEFEC9E"/>
      </patternFill>
    </fill>
    <fill>
      <patternFill patternType="solid">
        <fgColor rgb="FFBBD7EE"/>
        <bgColor rgb="FFD2D2D2"/>
      </patternFill>
    </fill>
    <fill>
      <patternFill patternType="solid">
        <fgColor rgb="FFD2D2D2"/>
        <bgColor rgb="FFD9D9D9"/>
      </patternFill>
    </fill>
    <fill>
      <patternFill patternType="solid">
        <fgColor rgb="FFCFC3E8"/>
        <bgColor rgb="FFD2D2D2"/>
      </patternFill>
    </fill>
    <fill>
      <patternFill patternType="solid">
        <fgColor rgb="FFFBC79B"/>
        <bgColor rgb="FFF8CBCB"/>
      </patternFill>
    </fill>
    <fill>
      <patternFill patternType="solid">
        <fgColor rgb="FFBFE3C0"/>
        <bgColor rgb="FFD2D2D2"/>
      </patternFill>
    </fill>
    <fill>
      <patternFill patternType="solid">
        <fgColor rgb="FFEFEC9E"/>
        <bgColor rgb="FFFBE2A8"/>
      </patternFill>
    </fill>
    <fill>
      <patternFill patternType="solid">
        <fgColor rgb="FFF2B8D8"/>
        <bgColor rgb="FFF8CBCB"/>
      </patternFill>
    </fill>
    <fill>
      <patternFill patternType="solid">
        <fgColor rgb="FFD9D9D9"/>
        <bgColor rgb="FFD2D2D2"/>
      </patternFill>
    </fill>
    <fill>
      <patternFill patternType="solid">
        <fgColor rgb="FF808080"/>
        <bgColor rgb="FF969696"/>
      </patternFill>
    </fill>
    <fill>
      <patternFill patternType="solid">
        <fgColor rgb="FFF2F2F2"/>
        <bgColor rgb="FFFFFFFF"/>
      </patternFill>
    </fill>
    <fill>
      <patternFill patternType="solid">
        <fgColor rgb="FFFFD966"/>
        <bgColor rgb="FFFBC79B"/>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s>
  <cellStyleXfs count="1">
    <xf numFmtId="0" fontId="0" fillId="0" borderId="0"/>
  </cellStyleXfs>
  <cellXfs count="39">
    <xf numFmtId="0" fontId="0" fillId="0" borderId="0" xfId="0"/>
    <xf numFmtId="0" fontId="5" fillId="14" borderId="1" xfId="0" applyFont="1" applyFill="1" applyBorder="1" applyAlignment="1">
      <alignment horizontal="left" vertical="center" wrapText="1"/>
    </xf>
    <xf numFmtId="0" fontId="4" fillId="2"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3" borderId="1" xfId="0" applyFont="1" applyFill="1" applyBorder="1" applyAlignment="1">
      <alignment horizontal="left" vertical="center" wrapText="1"/>
    </xf>
    <xf numFmtId="0" fontId="5" fillId="4" borderId="1" xfId="0" applyFont="1" applyFill="1" applyBorder="1" applyAlignment="1">
      <alignment horizontal="center" vertical="center" wrapText="1"/>
    </xf>
    <xf numFmtId="0" fontId="5" fillId="4" borderId="1" xfId="0" applyFont="1" applyFill="1" applyBorder="1" applyAlignment="1">
      <alignment horizontal="left" vertical="center" wrapText="1"/>
    </xf>
    <xf numFmtId="0" fontId="5" fillId="5" borderId="1" xfId="0" applyFont="1" applyFill="1" applyBorder="1" applyAlignment="1">
      <alignment horizontal="center" vertical="center" wrapText="1"/>
    </xf>
    <xf numFmtId="0" fontId="5" fillId="5" borderId="1" xfId="0" applyFont="1" applyFill="1" applyBorder="1" applyAlignment="1">
      <alignment horizontal="left" vertical="center" wrapText="1"/>
    </xf>
    <xf numFmtId="0" fontId="5" fillId="6" borderId="1" xfId="0" applyFont="1" applyFill="1" applyBorder="1" applyAlignment="1">
      <alignment horizontal="center" vertical="center" wrapText="1"/>
    </xf>
    <xf numFmtId="0" fontId="5" fillId="6" borderId="1" xfId="0" applyFont="1" applyFill="1" applyBorder="1" applyAlignment="1">
      <alignment horizontal="left" vertical="center" wrapText="1"/>
    </xf>
    <xf numFmtId="0" fontId="5" fillId="7" borderId="1" xfId="0" applyFont="1" applyFill="1" applyBorder="1" applyAlignment="1">
      <alignment horizontal="center" vertical="center" wrapText="1"/>
    </xf>
    <xf numFmtId="0" fontId="5" fillId="7" borderId="1" xfId="0" applyFont="1" applyFill="1" applyBorder="1" applyAlignment="1">
      <alignment horizontal="left" vertical="center" wrapText="1"/>
    </xf>
    <xf numFmtId="0" fontId="5" fillId="8" borderId="1" xfId="0" applyFont="1" applyFill="1" applyBorder="1" applyAlignment="1">
      <alignment horizontal="center" vertical="center" wrapText="1"/>
    </xf>
    <xf numFmtId="0" fontId="5" fillId="8" borderId="1" xfId="0" applyFont="1" applyFill="1" applyBorder="1" applyAlignment="1">
      <alignment horizontal="left" vertical="center" wrapText="1"/>
    </xf>
    <xf numFmtId="0" fontId="5" fillId="9" borderId="1" xfId="0" applyFont="1" applyFill="1" applyBorder="1" applyAlignment="1">
      <alignment horizontal="center" vertical="center" wrapText="1"/>
    </xf>
    <xf numFmtId="0" fontId="5" fillId="9" borderId="1" xfId="0" applyFont="1" applyFill="1" applyBorder="1" applyAlignment="1">
      <alignment horizontal="left" vertical="center" wrapText="1"/>
    </xf>
    <xf numFmtId="0" fontId="5" fillId="10" borderId="1" xfId="0" applyFont="1" applyFill="1" applyBorder="1" applyAlignment="1">
      <alignment horizontal="center" vertical="center" wrapText="1"/>
    </xf>
    <xf numFmtId="0" fontId="5" fillId="10" borderId="1" xfId="0" applyFont="1" applyFill="1" applyBorder="1" applyAlignment="1">
      <alignment horizontal="left" vertical="center" wrapText="1"/>
    </xf>
    <xf numFmtId="0" fontId="5" fillId="11" borderId="1" xfId="0" applyFont="1" applyFill="1" applyBorder="1" applyAlignment="1">
      <alignment horizontal="center" vertical="center" wrapText="1"/>
    </xf>
    <xf numFmtId="0" fontId="5" fillId="11" borderId="1" xfId="0" applyFont="1" applyFill="1" applyBorder="1" applyAlignment="1">
      <alignment horizontal="left" vertical="center" wrapText="1"/>
    </xf>
    <xf numFmtId="0" fontId="6" fillId="12" borderId="1" xfId="0" applyFont="1" applyFill="1" applyBorder="1" applyAlignment="1">
      <alignment horizontal="left" vertical="center"/>
    </xf>
    <xf numFmtId="0" fontId="6" fillId="12" borderId="1" xfId="0" applyFont="1" applyFill="1" applyBorder="1" applyAlignment="1">
      <alignment horizontal="center" vertical="center"/>
    </xf>
    <xf numFmtId="0" fontId="5" fillId="14" borderId="1" xfId="0" applyFont="1" applyFill="1" applyBorder="1" applyAlignment="1">
      <alignment horizontal="center" vertical="center" wrapText="1"/>
    </xf>
    <xf numFmtId="0" fontId="6" fillId="15" borderId="1" xfId="0" applyFont="1" applyFill="1" applyBorder="1" applyAlignment="1">
      <alignment horizontal="left" vertical="center"/>
    </xf>
    <xf numFmtId="0" fontId="6" fillId="15" borderId="1" xfId="0" applyFont="1" applyFill="1" applyBorder="1" applyAlignment="1">
      <alignment horizontal="center" vertical="center"/>
    </xf>
    <xf numFmtId="0" fontId="1" fillId="14" borderId="1" xfId="0" applyFont="1" applyFill="1" applyBorder="1" applyAlignment="1">
      <alignment horizontal="left" vertical="center" wrapText="1"/>
    </xf>
    <xf numFmtId="0" fontId="1" fillId="11" borderId="1" xfId="0" applyFont="1" applyFill="1" applyBorder="1" applyAlignment="1">
      <alignment horizontal="left" vertical="center" wrapText="1"/>
    </xf>
    <xf numFmtId="0" fontId="1" fillId="10" borderId="1" xfId="0" applyFont="1" applyFill="1" applyBorder="1" applyAlignment="1">
      <alignment horizontal="left" vertical="center" wrapText="1"/>
    </xf>
    <xf numFmtId="0" fontId="1" fillId="14" borderId="1" xfId="0" applyFont="1" applyFill="1" applyBorder="1" applyAlignment="1">
      <alignment horizontal="center" vertical="center" wrapText="1"/>
    </xf>
    <xf numFmtId="0" fontId="1" fillId="14" borderId="2" xfId="0" applyFont="1" applyFill="1" applyBorder="1" applyAlignment="1">
      <alignment horizontal="left" vertical="center" wrapText="1"/>
    </xf>
    <xf numFmtId="0" fontId="1" fillId="8" borderId="1" xfId="0" applyFont="1" applyFill="1" applyBorder="1" applyAlignment="1">
      <alignment horizontal="left" vertical="center" wrapText="1"/>
    </xf>
    <xf numFmtId="0" fontId="1" fillId="9" borderId="1" xfId="0" applyFont="1" applyFill="1" applyBorder="1" applyAlignment="1">
      <alignment horizontal="left" vertical="center" wrapText="1"/>
    </xf>
    <xf numFmtId="0" fontId="1" fillId="3" borderId="1" xfId="0" applyFont="1" applyFill="1" applyBorder="1" applyAlignment="1">
      <alignment horizontal="left" vertical="center" wrapText="1"/>
    </xf>
    <xf numFmtId="0" fontId="3" fillId="0" borderId="0" xfId="0" applyFont="1"/>
    <xf numFmtId="0" fontId="1" fillId="14" borderId="1" xfId="0" applyFont="1" applyFill="1" applyBorder="1" applyAlignment="1">
      <alignment horizontal="left" vertical="center" wrapText="1"/>
    </xf>
    <xf numFmtId="0" fontId="5" fillId="14" borderId="1" xfId="0" applyFont="1" applyFill="1" applyBorder="1" applyAlignment="1">
      <alignment horizontal="left" vertical="center" wrapText="1"/>
    </xf>
    <xf numFmtId="0" fontId="2" fillId="0" borderId="0" xfId="0" applyFont="1"/>
    <xf numFmtId="0" fontId="4" fillId="13"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BE2A8"/>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D9D9D9"/>
      <rgbColor rgb="FF660066"/>
      <rgbColor rgb="FFFF8080"/>
      <rgbColor rgb="FF0066CC"/>
      <rgbColor rgb="FFCFC3E8"/>
      <rgbColor rgb="FF000080"/>
      <rgbColor rgb="FFFF00FF"/>
      <rgbColor rgb="FFFFFF00"/>
      <rgbColor rgb="FF00FFFF"/>
      <rgbColor rgb="FF800080"/>
      <rgbColor rgb="FF800000"/>
      <rgbColor rgb="FF008080"/>
      <rgbColor rgb="FF0000FF"/>
      <rgbColor rgb="FF00CCFF"/>
      <rgbColor rgb="FFD2D2D2"/>
      <rgbColor rgb="FFBFE3C0"/>
      <rgbColor rgb="FFEFEC9E"/>
      <rgbColor rgb="FFBBD7EE"/>
      <rgbColor rgb="FFF2B8D8"/>
      <rgbColor rgb="FFF8CBCB"/>
      <rgbColor rgb="FFFBC79B"/>
      <rgbColor rgb="FF3366FF"/>
      <rgbColor rgb="FF33CCCC"/>
      <rgbColor rgb="FF99CC00"/>
      <rgbColor rgb="FFFFD966"/>
      <rgbColor rgb="FFFF9900"/>
      <rgbColor rgb="FFFF6600"/>
      <rgbColor rgb="FF595959"/>
      <rgbColor rgb="FF969696"/>
      <rgbColor rgb="FF003366"/>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72"/>
  <sheetViews>
    <sheetView showGridLines="0" zoomScaleNormal="100" workbookViewId="0">
      <pane ySplit="4" topLeftCell="A5" activePane="bottomLeft" state="frozen"/>
      <selection pane="bottomLeft" activeCell="F37" sqref="F37"/>
    </sheetView>
  </sheetViews>
  <sheetFormatPr defaultColWidth="8.7109375" defaultRowHeight="15" x14ac:dyDescent="0.25"/>
  <cols>
    <col min="1" max="1" width="11" customWidth="1"/>
    <col min="2" max="2" width="20" customWidth="1"/>
    <col min="3" max="3" width="18.28515625" customWidth="1"/>
    <col min="4" max="4" width="52" customWidth="1"/>
    <col min="5" max="5" width="30" customWidth="1"/>
    <col min="12" max="12" width="10.140625" customWidth="1"/>
  </cols>
  <sheetData>
    <row r="1" spans="1:5" ht="18" x14ac:dyDescent="0.25">
      <c r="A1" s="37" t="s">
        <v>0</v>
      </c>
      <c r="B1" s="37"/>
      <c r="C1" s="37"/>
      <c r="D1" s="37"/>
      <c r="E1" s="37"/>
    </row>
    <row r="2" spans="1:5" x14ac:dyDescent="0.25">
      <c r="A2" s="34" t="s">
        <v>1</v>
      </c>
      <c r="B2" s="34"/>
      <c r="C2" s="34"/>
      <c r="D2" s="34"/>
      <c r="E2" s="34"/>
    </row>
    <row r="4" spans="1:5" ht="25.5" x14ac:dyDescent="0.25">
      <c r="A4" s="2" t="s">
        <v>2</v>
      </c>
      <c r="B4" s="2" t="s">
        <v>3</v>
      </c>
      <c r="C4" s="2" t="s">
        <v>4</v>
      </c>
      <c r="D4" s="2" t="s">
        <v>5</v>
      </c>
      <c r="E4" s="2" t="s">
        <v>6</v>
      </c>
    </row>
    <row r="5" spans="1:5" x14ac:dyDescent="0.25">
      <c r="A5" s="3">
        <v>1</v>
      </c>
      <c r="B5" s="4" t="s">
        <v>7</v>
      </c>
      <c r="C5" s="3">
        <v>5</v>
      </c>
      <c r="D5" s="4" t="s">
        <v>8</v>
      </c>
      <c r="E5" s="4" t="s">
        <v>9</v>
      </c>
    </row>
    <row r="6" spans="1:5" x14ac:dyDescent="0.25">
      <c r="A6" s="5">
        <v>2</v>
      </c>
      <c r="B6" s="6" t="s">
        <v>10</v>
      </c>
      <c r="C6" s="5">
        <v>5</v>
      </c>
      <c r="D6" s="6" t="s">
        <v>11</v>
      </c>
      <c r="E6" s="6" t="s">
        <v>9</v>
      </c>
    </row>
    <row r="7" spans="1:5" x14ac:dyDescent="0.25">
      <c r="A7" s="7">
        <v>3</v>
      </c>
      <c r="B7" s="8" t="s">
        <v>12</v>
      </c>
      <c r="C7" s="7">
        <v>4</v>
      </c>
      <c r="D7" s="8" t="s">
        <v>13</v>
      </c>
      <c r="E7" s="8" t="s">
        <v>9</v>
      </c>
    </row>
    <row r="8" spans="1:5" x14ac:dyDescent="0.25">
      <c r="A8" s="9">
        <v>4</v>
      </c>
      <c r="B8" s="10" t="s">
        <v>14</v>
      </c>
      <c r="C8" s="9">
        <v>4</v>
      </c>
      <c r="D8" s="10" t="s">
        <v>15</v>
      </c>
      <c r="E8" s="10" t="s">
        <v>9</v>
      </c>
    </row>
    <row r="9" spans="1:5" x14ac:dyDescent="0.25">
      <c r="A9" s="11">
        <v>5</v>
      </c>
      <c r="B9" s="12" t="s">
        <v>16</v>
      </c>
      <c r="C9" s="11">
        <v>3</v>
      </c>
      <c r="D9" s="12" t="s">
        <v>17</v>
      </c>
      <c r="E9" s="12" t="s">
        <v>9</v>
      </c>
    </row>
    <row r="10" spans="1:5" x14ac:dyDescent="0.25">
      <c r="A10" s="13">
        <v>6</v>
      </c>
      <c r="B10" s="14" t="s">
        <v>18</v>
      </c>
      <c r="C10" s="13">
        <v>2</v>
      </c>
      <c r="D10" s="14" t="s">
        <v>19</v>
      </c>
      <c r="E10" s="14" t="s">
        <v>9</v>
      </c>
    </row>
    <row r="11" spans="1:5" x14ac:dyDescent="0.25">
      <c r="A11" s="15">
        <v>7</v>
      </c>
      <c r="B11" s="16" t="s">
        <v>20</v>
      </c>
      <c r="C11" s="15">
        <v>2</v>
      </c>
      <c r="D11" s="16" t="s">
        <v>21</v>
      </c>
      <c r="E11" s="16" t="s">
        <v>9</v>
      </c>
    </row>
    <row r="12" spans="1:5" x14ac:dyDescent="0.25">
      <c r="A12" s="17">
        <v>8</v>
      </c>
      <c r="B12" s="18" t="s">
        <v>22</v>
      </c>
      <c r="C12" s="17">
        <v>1</v>
      </c>
      <c r="D12" s="18" t="s">
        <v>23</v>
      </c>
      <c r="E12" s="18" t="s">
        <v>9</v>
      </c>
    </row>
    <row r="13" spans="1:5" x14ac:dyDescent="0.25">
      <c r="A13" s="19">
        <v>9</v>
      </c>
      <c r="B13" s="20" t="s">
        <v>24</v>
      </c>
      <c r="C13" s="19">
        <v>1</v>
      </c>
      <c r="D13" s="20" t="s">
        <v>23</v>
      </c>
      <c r="E13" s="20" t="s">
        <v>9</v>
      </c>
    </row>
    <row r="14" spans="1:5" x14ac:dyDescent="0.25">
      <c r="A14" s="21"/>
      <c r="B14" s="21" t="s">
        <v>25</v>
      </c>
      <c r="C14" s="22">
        <f>SUM(C5:C13)</f>
        <v>27</v>
      </c>
      <c r="D14" s="21"/>
      <c r="E14" s="21"/>
    </row>
    <row r="16" spans="1:5" x14ac:dyDescent="0.25">
      <c r="A16" s="38" t="s">
        <v>26</v>
      </c>
      <c r="B16" s="38"/>
      <c r="C16" s="38"/>
      <c r="D16" s="38"/>
      <c r="E16" s="38"/>
    </row>
    <row r="17" spans="1:13" ht="38.25" x14ac:dyDescent="0.25">
      <c r="A17" s="23" t="s">
        <v>27</v>
      </c>
      <c r="B17" s="26" t="s">
        <v>68</v>
      </c>
      <c r="C17" s="23">
        <v>9</v>
      </c>
      <c r="D17" s="26" t="s">
        <v>118</v>
      </c>
      <c r="E17" s="1" t="s">
        <v>28</v>
      </c>
      <c r="I17" t="s">
        <v>62</v>
      </c>
    </row>
    <row r="18" spans="1:13" x14ac:dyDescent="0.25">
      <c r="A18" s="21"/>
      <c r="B18" s="21" t="s">
        <v>29</v>
      </c>
      <c r="C18" s="22">
        <f>SUM(C17:C17)</f>
        <v>9</v>
      </c>
      <c r="D18" s="21"/>
      <c r="E18" s="21"/>
      <c r="H18" t="s">
        <v>146</v>
      </c>
      <c r="L18" t="s">
        <v>106</v>
      </c>
      <c r="M18" t="s">
        <v>107</v>
      </c>
    </row>
    <row r="19" spans="1:13" x14ac:dyDescent="0.25">
      <c r="A19" s="24"/>
      <c r="B19" s="24" t="s">
        <v>30</v>
      </c>
      <c r="C19" s="25">
        <f>C14+C18</f>
        <v>36</v>
      </c>
      <c r="D19" s="24"/>
      <c r="E19" s="24"/>
      <c r="H19" t="s">
        <v>152</v>
      </c>
      <c r="I19" t="s">
        <v>105</v>
      </c>
      <c r="L19">
        <v>18</v>
      </c>
    </row>
    <row r="21" spans="1:13" x14ac:dyDescent="0.25">
      <c r="A21" s="38" t="s">
        <v>110</v>
      </c>
      <c r="B21" s="38"/>
      <c r="C21" s="38"/>
      <c r="D21" s="38"/>
      <c r="E21" s="38"/>
      <c r="H21" t="s">
        <v>147</v>
      </c>
      <c r="I21" t="s">
        <v>113</v>
      </c>
      <c r="J21" t="s">
        <v>114</v>
      </c>
      <c r="M21" t="s">
        <v>129</v>
      </c>
    </row>
    <row r="22" spans="1:13" ht="24.95" customHeight="1" x14ac:dyDescent="0.25">
      <c r="A22" s="23">
        <v>10</v>
      </c>
      <c r="B22" s="1" t="s">
        <v>32</v>
      </c>
      <c r="C22" s="29" t="s">
        <v>124</v>
      </c>
      <c r="D22" s="35" t="s">
        <v>215</v>
      </c>
      <c r="E22" s="36"/>
    </row>
    <row r="23" spans="1:13" ht="24.95" customHeight="1" x14ac:dyDescent="0.25">
      <c r="A23" s="23">
        <v>11</v>
      </c>
      <c r="B23" s="26" t="s">
        <v>31</v>
      </c>
      <c r="C23" s="29" t="s">
        <v>124</v>
      </c>
      <c r="D23" s="35" t="s">
        <v>214</v>
      </c>
      <c r="E23" s="36"/>
      <c r="H23" t="s">
        <v>148</v>
      </c>
      <c r="I23" t="s">
        <v>69</v>
      </c>
      <c r="M23" t="s">
        <v>128</v>
      </c>
    </row>
    <row r="24" spans="1:13" ht="24.95" customHeight="1" x14ac:dyDescent="0.25">
      <c r="A24" s="23">
        <v>12</v>
      </c>
      <c r="B24" s="1" t="s">
        <v>33</v>
      </c>
      <c r="C24" s="29" t="s">
        <v>124</v>
      </c>
      <c r="D24" s="35" t="s">
        <v>213</v>
      </c>
      <c r="E24" s="36"/>
    </row>
    <row r="25" spans="1:13" ht="24.95" customHeight="1" x14ac:dyDescent="0.25">
      <c r="A25" s="23">
        <v>13</v>
      </c>
      <c r="B25" s="26" t="s">
        <v>37</v>
      </c>
      <c r="C25" s="29" t="s">
        <v>124</v>
      </c>
      <c r="D25" s="35" t="s">
        <v>212</v>
      </c>
      <c r="E25" s="36"/>
      <c r="H25" t="s">
        <v>149</v>
      </c>
      <c r="I25" t="s">
        <v>112</v>
      </c>
      <c r="M25" t="s">
        <v>127</v>
      </c>
    </row>
    <row r="26" spans="1:13" ht="24.95" customHeight="1" x14ac:dyDescent="0.25">
      <c r="A26" s="23">
        <v>14</v>
      </c>
      <c r="B26" s="26" t="s">
        <v>36</v>
      </c>
      <c r="C26" s="29" t="s">
        <v>124</v>
      </c>
      <c r="D26" s="35" t="s">
        <v>211</v>
      </c>
      <c r="E26" s="36"/>
    </row>
    <row r="27" spans="1:13" ht="24.95" customHeight="1" x14ac:dyDescent="0.25">
      <c r="A27" s="23">
        <v>15</v>
      </c>
      <c r="B27" s="26" t="s">
        <v>34</v>
      </c>
      <c r="C27" s="29" t="s">
        <v>157</v>
      </c>
      <c r="D27" s="35" t="s">
        <v>210</v>
      </c>
      <c r="E27" s="36"/>
      <c r="H27" t="s">
        <v>150</v>
      </c>
      <c r="I27" t="s">
        <v>111</v>
      </c>
      <c r="M27" t="s">
        <v>126</v>
      </c>
    </row>
    <row r="28" spans="1:13" ht="24.95" customHeight="1" x14ac:dyDescent="0.25">
      <c r="A28" s="23">
        <v>16</v>
      </c>
      <c r="B28" s="26" t="s">
        <v>70</v>
      </c>
      <c r="C28" s="29" t="s">
        <v>157</v>
      </c>
      <c r="D28" s="35" t="s">
        <v>209</v>
      </c>
      <c r="E28" s="36"/>
    </row>
    <row r="29" spans="1:13" ht="24.95" customHeight="1" x14ac:dyDescent="0.25">
      <c r="A29" s="23">
        <v>17</v>
      </c>
      <c r="B29" s="26" t="s">
        <v>71</v>
      </c>
      <c r="C29" s="29" t="s">
        <v>157</v>
      </c>
      <c r="D29" s="35" t="s">
        <v>208</v>
      </c>
      <c r="E29" s="36"/>
    </row>
    <row r="30" spans="1:13" ht="24.95" customHeight="1" x14ac:dyDescent="0.25">
      <c r="A30" s="23">
        <v>18</v>
      </c>
      <c r="B30" s="26" t="s">
        <v>38</v>
      </c>
      <c r="C30" s="29" t="s">
        <v>157</v>
      </c>
      <c r="D30" s="35" t="s">
        <v>207</v>
      </c>
      <c r="E30" s="36"/>
    </row>
    <row r="31" spans="1:13" ht="24.95" customHeight="1" x14ac:dyDescent="0.25">
      <c r="A31" s="23">
        <v>19</v>
      </c>
      <c r="B31" s="26" t="s">
        <v>72</v>
      </c>
      <c r="C31" s="29" t="s">
        <v>157</v>
      </c>
      <c r="D31" s="35" t="s">
        <v>206</v>
      </c>
      <c r="E31" s="36"/>
    </row>
    <row r="32" spans="1:13" ht="24.95" customHeight="1" x14ac:dyDescent="0.25">
      <c r="A32" s="23">
        <v>20</v>
      </c>
      <c r="B32" s="26" t="s">
        <v>35</v>
      </c>
      <c r="C32" s="29" t="s">
        <v>157</v>
      </c>
      <c r="D32" s="35" t="s">
        <v>205</v>
      </c>
      <c r="E32" s="36"/>
    </row>
    <row r="33" spans="1:5" ht="24.95" customHeight="1" x14ac:dyDescent="0.25">
      <c r="A33" s="23">
        <v>21</v>
      </c>
      <c r="B33" s="26" t="s">
        <v>73</v>
      </c>
      <c r="C33" s="29" t="s">
        <v>157</v>
      </c>
      <c r="D33" s="35" t="s">
        <v>204</v>
      </c>
      <c r="E33" s="36"/>
    </row>
    <row r="34" spans="1:5" ht="24.95" customHeight="1" x14ac:dyDescent="0.25">
      <c r="A34" s="23">
        <v>22</v>
      </c>
      <c r="B34" s="26" t="s">
        <v>74</v>
      </c>
      <c r="C34" s="29" t="s">
        <v>157</v>
      </c>
      <c r="D34" s="35" t="s">
        <v>203</v>
      </c>
      <c r="E34" s="36"/>
    </row>
    <row r="35" spans="1:5" ht="24.95" customHeight="1" x14ac:dyDescent="0.25">
      <c r="A35" s="23">
        <v>23</v>
      </c>
      <c r="B35" s="26" t="s">
        <v>39</v>
      </c>
      <c r="C35" s="29" t="s">
        <v>157</v>
      </c>
      <c r="D35" s="35" t="s">
        <v>202</v>
      </c>
      <c r="E35" s="36"/>
    </row>
    <row r="36" spans="1:5" ht="24.95" customHeight="1" x14ac:dyDescent="0.25">
      <c r="A36" s="23">
        <v>24</v>
      </c>
      <c r="B36" s="26" t="s">
        <v>75</v>
      </c>
      <c r="C36" s="29" t="s">
        <v>158</v>
      </c>
      <c r="D36" s="35" t="s">
        <v>201</v>
      </c>
      <c r="E36" s="36"/>
    </row>
    <row r="37" spans="1:5" ht="24.95" customHeight="1" x14ac:dyDescent="0.25">
      <c r="A37" s="23">
        <v>25</v>
      </c>
      <c r="B37" s="26" t="s">
        <v>76</v>
      </c>
      <c r="C37" s="29" t="s">
        <v>158</v>
      </c>
      <c r="D37" s="35" t="s">
        <v>200</v>
      </c>
      <c r="E37" s="36"/>
    </row>
    <row r="38" spans="1:5" ht="24.95" customHeight="1" x14ac:dyDescent="0.25">
      <c r="A38" s="23">
        <v>26</v>
      </c>
      <c r="B38" s="26" t="s">
        <v>77</v>
      </c>
      <c r="C38" s="29" t="s">
        <v>158</v>
      </c>
      <c r="D38" s="35" t="s">
        <v>199</v>
      </c>
      <c r="E38" s="36"/>
    </row>
    <row r="39" spans="1:5" ht="24.95" customHeight="1" x14ac:dyDescent="0.25">
      <c r="A39" s="23">
        <v>27</v>
      </c>
      <c r="B39" s="26" t="s">
        <v>78</v>
      </c>
      <c r="C39" s="29" t="s">
        <v>158</v>
      </c>
      <c r="D39" s="35" t="s">
        <v>198</v>
      </c>
      <c r="E39" s="36"/>
    </row>
    <row r="40" spans="1:5" ht="24.95" customHeight="1" x14ac:dyDescent="0.25">
      <c r="A40" s="23">
        <v>28</v>
      </c>
      <c r="B40" s="26" t="s">
        <v>80</v>
      </c>
      <c r="C40" s="29" t="s">
        <v>159</v>
      </c>
      <c r="D40" s="35" t="s">
        <v>197</v>
      </c>
      <c r="E40" s="36"/>
    </row>
    <row r="41" spans="1:5" ht="24.95" customHeight="1" x14ac:dyDescent="0.25">
      <c r="A41" s="23">
        <v>29</v>
      </c>
      <c r="B41" s="26" t="s">
        <v>41</v>
      </c>
      <c r="C41" s="29" t="s">
        <v>159</v>
      </c>
      <c r="D41" s="35" t="s">
        <v>196</v>
      </c>
      <c r="E41" s="36"/>
    </row>
    <row r="42" spans="1:5" ht="24.95" customHeight="1" x14ac:dyDescent="0.25">
      <c r="A42" s="23">
        <v>30</v>
      </c>
      <c r="B42" s="26" t="s">
        <v>79</v>
      </c>
      <c r="C42" s="29" t="s">
        <v>159</v>
      </c>
      <c r="D42" s="35" t="s">
        <v>195</v>
      </c>
      <c r="E42" s="36"/>
    </row>
    <row r="43" spans="1:5" ht="24.95" customHeight="1" x14ac:dyDescent="0.25">
      <c r="A43" s="23">
        <v>31</v>
      </c>
      <c r="B43" s="26" t="s">
        <v>40</v>
      </c>
      <c r="C43" s="29" t="s">
        <v>159</v>
      </c>
      <c r="D43" s="35" t="s">
        <v>194</v>
      </c>
      <c r="E43" s="36"/>
    </row>
    <row r="44" spans="1:5" ht="24.95" customHeight="1" x14ac:dyDescent="0.25">
      <c r="A44" s="23">
        <v>32</v>
      </c>
      <c r="B44" s="26" t="s">
        <v>81</v>
      </c>
      <c r="C44" s="29" t="s">
        <v>159</v>
      </c>
      <c r="D44" s="35" t="s">
        <v>193</v>
      </c>
      <c r="E44" s="36"/>
    </row>
    <row r="45" spans="1:5" ht="24.95" customHeight="1" x14ac:dyDescent="0.25">
      <c r="A45" s="23">
        <v>33</v>
      </c>
      <c r="B45" s="26" t="s">
        <v>82</v>
      </c>
      <c r="C45" s="29" t="s">
        <v>159</v>
      </c>
      <c r="D45" s="35" t="s">
        <v>192</v>
      </c>
      <c r="E45" s="36"/>
    </row>
    <row r="46" spans="1:5" ht="24.95" customHeight="1" x14ac:dyDescent="0.25">
      <c r="A46" s="23">
        <v>34</v>
      </c>
      <c r="B46" s="26" t="s">
        <v>83</v>
      </c>
      <c r="C46" s="29" t="s">
        <v>159</v>
      </c>
      <c r="D46" s="35" t="s">
        <v>191</v>
      </c>
      <c r="E46" s="36"/>
    </row>
    <row r="47" spans="1:5" ht="24.95" customHeight="1" x14ac:dyDescent="0.25">
      <c r="A47" s="23">
        <v>35</v>
      </c>
      <c r="B47" s="26" t="s">
        <v>84</v>
      </c>
      <c r="C47" s="29" t="s">
        <v>159</v>
      </c>
      <c r="D47" s="35" t="s">
        <v>190</v>
      </c>
      <c r="E47" s="36"/>
    </row>
    <row r="48" spans="1:5" ht="24.95" customHeight="1" x14ac:dyDescent="0.25">
      <c r="A48" s="23">
        <v>36</v>
      </c>
      <c r="B48" s="26" t="s">
        <v>85</v>
      </c>
      <c r="C48" s="29" t="s">
        <v>159</v>
      </c>
      <c r="D48" s="35" t="s">
        <v>189</v>
      </c>
      <c r="E48" s="36"/>
    </row>
    <row r="49" spans="1:5" ht="24.95" customHeight="1" x14ac:dyDescent="0.25">
      <c r="A49" s="23">
        <v>37</v>
      </c>
      <c r="B49" s="26" t="s">
        <v>86</v>
      </c>
      <c r="C49" s="29" t="s">
        <v>125</v>
      </c>
      <c r="D49" s="35" t="s">
        <v>186</v>
      </c>
      <c r="E49" s="36"/>
    </row>
    <row r="50" spans="1:5" ht="24.95" customHeight="1" x14ac:dyDescent="0.25">
      <c r="A50" s="23">
        <v>38</v>
      </c>
      <c r="B50" s="26" t="s">
        <v>87</v>
      </c>
      <c r="C50" s="29" t="s">
        <v>125</v>
      </c>
      <c r="D50" s="35" t="s">
        <v>185</v>
      </c>
      <c r="E50" s="36"/>
    </row>
    <row r="51" spans="1:5" ht="24.95" customHeight="1" x14ac:dyDescent="0.25">
      <c r="A51" s="23">
        <v>39</v>
      </c>
      <c r="B51" s="26" t="s">
        <v>88</v>
      </c>
      <c r="C51" s="29" t="s">
        <v>125</v>
      </c>
      <c r="D51" s="35" t="s">
        <v>184</v>
      </c>
      <c r="E51" s="36"/>
    </row>
    <row r="52" spans="1:5" ht="24.95" customHeight="1" x14ac:dyDescent="0.25">
      <c r="A52" s="23">
        <v>40</v>
      </c>
      <c r="B52" s="26" t="s">
        <v>89</v>
      </c>
      <c r="C52" s="29" t="s">
        <v>125</v>
      </c>
      <c r="D52" s="35" t="s">
        <v>183</v>
      </c>
      <c r="E52" s="36"/>
    </row>
    <row r="53" spans="1:5" ht="24.95" customHeight="1" x14ac:dyDescent="0.25">
      <c r="A53" s="23">
        <v>41</v>
      </c>
      <c r="B53" s="26" t="s">
        <v>90</v>
      </c>
      <c r="C53" s="29" t="s">
        <v>108</v>
      </c>
      <c r="D53" s="36" t="s">
        <v>109</v>
      </c>
      <c r="E53" s="36"/>
    </row>
    <row r="54" spans="1:5" ht="24.95" customHeight="1" x14ac:dyDescent="0.25">
      <c r="A54" s="23">
        <v>42</v>
      </c>
      <c r="B54" s="26" t="s">
        <v>91</v>
      </c>
      <c r="C54" s="29" t="s">
        <v>125</v>
      </c>
      <c r="D54" s="35" t="s">
        <v>182</v>
      </c>
      <c r="E54" s="36"/>
    </row>
    <row r="55" spans="1:5" ht="24.95" customHeight="1" x14ac:dyDescent="0.25">
      <c r="A55" s="23">
        <v>43</v>
      </c>
      <c r="B55" s="26" t="s">
        <v>92</v>
      </c>
      <c r="C55" s="29" t="s">
        <v>125</v>
      </c>
      <c r="D55" s="35" t="s">
        <v>181</v>
      </c>
      <c r="E55" s="36"/>
    </row>
    <row r="56" spans="1:5" ht="24.95" customHeight="1" x14ac:dyDescent="0.25">
      <c r="A56" s="23">
        <v>44</v>
      </c>
      <c r="B56" s="26" t="s">
        <v>93</v>
      </c>
      <c r="C56" s="29" t="s">
        <v>125</v>
      </c>
      <c r="D56" s="35" t="s">
        <v>180</v>
      </c>
      <c r="E56" s="36"/>
    </row>
    <row r="57" spans="1:5" ht="24.95" customHeight="1" x14ac:dyDescent="0.25">
      <c r="A57" s="23">
        <v>45</v>
      </c>
      <c r="B57" s="26" t="s">
        <v>94</v>
      </c>
      <c r="C57" s="29" t="s">
        <v>125</v>
      </c>
      <c r="D57" s="35" t="s">
        <v>188</v>
      </c>
      <c r="E57" s="36"/>
    </row>
    <row r="58" spans="1:5" ht="24.95" customHeight="1" x14ac:dyDescent="0.25">
      <c r="A58" s="23">
        <v>46</v>
      </c>
      <c r="B58" s="26" t="s">
        <v>95</v>
      </c>
      <c r="C58" s="29" t="s">
        <v>125</v>
      </c>
      <c r="D58" s="35" t="s">
        <v>178</v>
      </c>
      <c r="E58" s="36"/>
    </row>
    <row r="59" spans="1:5" ht="24.95" customHeight="1" x14ac:dyDescent="0.25">
      <c r="A59" s="23">
        <v>47</v>
      </c>
      <c r="B59" s="26" t="s">
        <v>96</v>
      </c>
      <c r="C59" s="29" t="s">
        <v>125</v>
      </c>
      <c r="D59" s="35" t="s">
        <v>177</v>
      </c>
      <c r="E59" s="36"/>
    </row>
    <row r="60" spans="1:5" ht="24.95" customHeight="1" x14ac:dyDescent="0.25">
      <c r="A60" s="23">
        <v>48</v>
      </c>
      <c r="B60" s="26" t="s">
        <v>97</v>
      </c>
      <c r="C60" s="29" t="s">
        <v>125</v>
      </c>
      <c r="D60" s="35" t="s">
        <v>176</v>
      </c>
      <c r="E60" s="36"/>
    </row>
    <row r="61" spans="1:5" ht="24.95" customHeight="1" x14ac:dyDescent="0.25">
      <c r="A61" s="23">
        <v>49</v>
      </c>
      <c r="B61" s="26" t="s">
        <v>98</v>
      </c>
      <c r="C61" s="29" t="s">
        <v>125</v>
      </c>
      <c r="D61" s="35" t="s">
        <v>175</v>
      </c>
      <c r="E61" s="36"/>
    </row>
    <row r="62" spans="1:5" ht="24.95" customHeight="1" x14ac:dyDescent="0.25">
      <c r="A62" s="23">
        <v>50</v>
      </c>
      <c r="B62" s="26" t="s">
        <v>99</v>
      </c>
      <c r="C62" s="29" t="s">
        <v>125</v>
      </c>
      <c r="D62" s="35" t="s">
        <v>174</v>
      </c>
      <c r="E62" s="36"/>
    </row>
    <row r="63" spans="1:5" ht="24.95" customHeight="1" x14ac:dyDescent="0.25">
      <c r="A63" s="23">
        <v>51</v>
      </c>
      <c r="B63" s="26" t="s">
        <v>100</v>
      </c>
      <c r="C63" s="29" t="s">
        <v>125</v>
      </c>
      <c r="D63" s="35" t="s">
        <v>173</v>
      </c>
      <c r="E63" s="36"/>
    </row>
    <row r="64" spans="1:5" ht="24.95" customHeight="1" x14ac:dyDescent="0.25">
      <c r="A64" s="23">
        <v>52</v>
      </c>
      <c r="B64" s="26" t="s">
        <v>101</v>
      </c>
      <c r="C64" s="29" t="s">
        <v>125</v>
      </c>
      <c r="D64" s="35" t="s">
        <v>172</v>
      </c>
      <c r="E64" s="36"/>
    </row>
    <row r="65" spans="1:5" ht="24.95" customHeight="1" x14ac:dyDescent="0.25">
      <c r="A65" s="23">
        <v>53</v>
      </c>
      <c r="B65" s="26" t="s">
        <v>102</v>
      </c>
      <c r="C65" s="29" t="s">
        <v>125</v>
      </c>
      <c r="D65" s="35" t="s">
        <v>170</v>
      </c>
      <c r="E65" s="36"/>
    </row>
    <row r="66" spans="1:5" ht="24.95" customHeight="1" x14ac:dyDescent="0.25">
      <c r="A66" s="23">
        <v>54</v>
      </c>
      <c r="B66" s="26" t="s">
        <v>103</v>
      </c>
      <c r="C66" s="29" t="s">
        <v>125</v>
      </c>
      <c r="D66" s="35" t="s">
        <v>171</v>
      </c>
      <c r="E66" s="36"/>
    </row>
    <row r="67" spans="1:5" ht="24.95" customHeight="1" x14ac:dyDescent="0.25">
      <c r="A67" s="23">
        <v>55</v>
      </c>
      <c r="B67" s="26" t="s">
        <v>104</v>
      </c>
      <c r="C67" s="29" t="s">
        <v>125</v>
      </c>
      <c r="D67" s="35" t="s">
        <v>115</v>
      </c>
      <c r="E67" s="36"/>
    </row>
    <row r="69" spans="1:5" x14ac:dyDescent="0.25">
      <c r="A69" s="34" t="s">
        <v>42</v>
      </c>
      <c r="B69" s="34"/>
      <c r="C69" s="34"/>
      <c r="D69" s="34"/>
      <c r="E69" s="34"/>
    </row>
    <row r="70" spans="1:5" x14ac:dyDescent="0.25">
      <c r="A70" s="34" t="s">
        <v>43</v>
      </c>
      <c r="B70" s="34"/>
      <c r="C70" s="34"/>
      <c r="D70" s="34"/>
      <c r="E70" s="34"/>
    </row>
    <row r="71" spans="1:5" x14ac:dyDescent="0.25">
      <c r="A71" s="34" t="s">
        <v>44</v>
      </c>
      <c r="B71" s="34"/>
      <c r="C71" s="34"/>
      <c r="D71" s="34"/>
      <c r="E71" s="34"/>
    </row>
    <row r="72" spans="1:5" x14ac:dyDescent="0.25">
      <c r="A72" s="34" t="s">
        <v>45</v>
      </c>
      <c r="B72" s="34"/>
      <c r="C72" s="34"/>
      <c r="D72" s="34"/>
      <c r="E72" s="34"/>
    </row>
  </sheetData>
  <mergeCells count="54">
    <mergeCell ref="D61:E61"/>
    <mergeCell ref="D62:E62"/>
    <mergeCell ref="A72:E72"/>
    <mergeCell ref="A69:E69"/>
    <mergeCell ref="A70:E70"/>
    <mergeCell ref="A71:E71"/>
    <mergeCell ref="D63:E63"/>
    <mergeCell ref="D64:E64"/>
    <mergeCell ref="D65:E65"/>
    <mergeCell ref="D67:E67"/>
    <mergeCell ref="D66:E66"/>
    <mergeCell ref="D26:E26"/>
    <mergeCell ref="D27:E27"/>
    <mergeCell ref="D57:E57"/>
    <mergeCell ref="D28:E28"/>
    <mergeCell ref="D29:E29"/>
    <mergeCell ref="D30:E30"/>
    <mergeCell ref="D31:E31"/>
    <mergeCell ref="D32:E32"/>
    <mergeCell ref="D33:E33"/>
    <mergeCell ref="D34:E34"/>
    <mergeCell ref="D35:E35"/>
    <mergeCell ref="D36:E36"/>
    <mergeCell ref="D37:E37"/>
    <mergeCell ref="D38:E38"/>
    <mergeCell ref="A1:E1"/>
    <mergeCell ref="A2:E2"/>
    <mergeCell ref="A16:E16"/>
    <mergeCell ref="A21:E21"/>
    <mergeCell ref="D23:E23"/>
    <mergeCell ref="D59:E59"/>
    <mergeCell ref="D60:E60"/>
    <mergeCell ref="D49:E49"/>
    <mergeCell ref="D50:E50"/>
    <mergeCell ref="D51:E51"/>
    <mergeCell ref="D52:E52"/>
    <mergeCell ref="D53:E53"/>
    <mergeCell ref="D58:E58"/>
    <mergeCell ref="D22:E22"/>
    <mergeCell ref="D25:E25"/>
    <mergeCell ref="D54:E54"/>
    <mergeCell ref="D55:E55"/>
    <mergeCell ref="D56:E56"/>
    <mergeCell ref="D44:E44"/>
    <mergeCell ref="D45:E45"/>
    <mergeCell ref="D46:E46"/>
    <mergeCell ref="D47:E47"/>
    <mergeCell ref="D48:E48"/>
    <mergeCell ref="D39:E39"/>
    <mergeCell ref="D40:E40"/>
    <mergeCell ref="D41:E41"/>
    <mergeCell ref="D42:E42"/>
    <mergeCell ref="D43:E43"/>
    <mergeCell ref="D24:E24"/>
  </mergeCells>
  <phoneticPr fontId="7" type="noConversion"/>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71"/>
  <sheetViews>
    <sheetView showGridLines="0" zoomScaleNormal="100" workbookViewId="0">
      <pane ySplit="4" topLeftCell="A5" activePane="bottomLeft" state="frozen"/>
      <selection pane="bottomLeft" activeCell="D47" sqref="D47:E47"/>
    </sheetView>
  </sheetViews>
  <sheetFormatPr defaultColWidth="8.7109375" defaultRowHeight="15" x14ac:dyDescent="0.25"/>
  <cols>
    <col min="1" max="1" width="11" customWidth="1"/>
    <col min="2" max="2" width="20" customWidth="1"/>
    <col min="3" max="3" width="18.28515625" customWidth="1"/>
    <col min="4" max="4" width="52" customWidth="1"/>
    <col min="5" max="5" width="30" customWidth="1"/>
    <col min="12" max="12" width="10.140625" customWidth="1"/>
  </cols>
  <sheetData>
    <row r="1" spans="1:7" ht="18" x14ac:dyDescent="0.25">
      <c r="A1" s="37" t="s">
        <v>46</v>
      </c>
      <c r="B1" s="37"/>
      <c r="C1" s="37"/>
      <c r="D1" s="37"/>
      <c r="E1" s="37"/>
    </row>
    <row r="2" spans="1:7" x14ac:dyDescent="0.25">
      <c r="A2" s="34" t="s">
        <v>1</v>
      </c>
      <c r="B2" s="34"/>
      <c r="C2" s="34"/>
      <c r="D2" s="34"/>
      <c r="E2" s="34"/>
    </row>
    <row r="4" spans="1:7" ht="25.5" x14ac:dyDescent="0.25">
      <c r="A4" s="2" t="s">
        <v>2</v>
      </c>
      <c r="B4" s="2" t="s">
        <v>3</v>
      </c>
      <c r="C4" s="2" t="s">
        <v>4</v>
      </c>
      <c r="D4" s="2" t="s">
        <v>5</v>
      </c>
      <c r="E4" s="2" t="s">
        <v>6</v>
      </c>
    </row>
    <row r="5" spans="1:7" x14ac:dyDescent="0.25">
      <c r="A5" s="3">
        <v>1</v>
      </c>
      <c r="B5" s="4" t="s">
        <v>7</v>
      </c>
      <c r="C5" s="3">
        <v>2</v>
      </c>
      <c r="D5" s="4" t="s">
        <v>47</v>
      </c>
      <c r="E5" s="4" t="s">
        <v>9</v>
      </c>
      <c r="G5" t="s">
        <v>64</v>
      </c>
    </row>
    <row r="6" spans="1:7" x14ac:dyDescent="0.25">
      <c r="A6" s="5">
        <v>2</v>
      </c>
      <c r="B6" s="6" t="s">
        <v>10</v>
      </c>
      <c r="C6" s="5">
        <v>2</v>
      </c>
      <c r="D6" s="6" t="s">
        <v>48</v>
      </c>
      <c r="E6" s="6" t="s">
        <v>9</v>
      </c>
      <c r="G6" t="s">
        <v>65</v>
      </c>
    </row>
    <row r="7" spans="1:7" x14ac:dyDescent="0.25">
      <c r="A7" s="7">
        <v>3</v>
      </c>
      <c r="B7" s="8" t="s">
        <v>12</v>
      </c>
      <c r="C7" s="7">
        <v>2</v>
      </c>
      <c r="D7" s="8" t="s">
        <v>49</v>
      </c>
      <c r="E7" s="8" t="s">
        <v>9</v>
      </c>
    </row>
    <row r="8" spans="1:7" x14ac:dyDescent="0.25">
      <c r="A8" s="9">
        <v>4</v>
      </c>
      <c r="B8" s="10" t="s">
        <v>14</v>
      </c>
      <c r="C8" s="9">
        <v>2</v>
      </c>
      <c r="D8" s="10" t="s">
        <v>50</v>
      </c>
      <c r="E8" s="10" t="s">
        <v>9</v>
      </c>
    </row>
    <row r="9" spans="1:7" x14ac:dyDescent="0.25">
      <c r="A9" s="11">
        <v>5</v>
      </c>
      <c r="B9" s="12" t="s">
        <v>16</v>
      </c>
      <c r="C9" s="11">
        <v>2</v>
      </c>
      <c r="D9" s="12" t="s">
        <v>51</v>
      </c>
      <c r="E9" s="12" t="s">
        <v>9</v>
      </c>
    </row>
    <row r="10" spans="1:7" x14ac:dyDescent="0.25">
      <c r="A10" s="13">
        <v>6</v>
      </c>
      <c r="B10" s="14" t="s">
        <v>18</v>
      </c>
      <c r="C10" s="13">
        <v>2</v>
      </c>
      <c r="D10" s="31" t="s">
        <v>217</v>
      </c>
      <c r="E10" s="14" t="s">
        <v>9</v>
      </c>
    </row>
    <row r="11" spans="1:7" x14ac:dyDescent="0.25">
      <c r="A11" s="15">
        <v>7</v>
      </c>
      <c r="B11" s="16" t="s">
        <v>20</v>
      </c>
      <c r="C11" s="15">
        <v>2</v>
      </c>
      <c r="D11" s="32" t="s">
        <v>218</v>
      </c>
      <c r="E11" s="16" t="s">
        <v>9</v>
      </c>
    </row>
    <row r="12" spans="1:7" x14ac:dyDescent="0.25">
      <c r="A12" s="17">
        <v>8</v>
      </c>
      <c r="B12" s="18" t="s">
        <v>22</v>
      </c>
      <c r="C12" s="17">
        <v>1</v>
      </c>
      <c r="D12" s="18" t="s">
        <v>67</v>
      </c>
      <c r="E12" s="18" t="s">
        <v>9</v>
      </c>
    </row>
    <row r="13" spans="1:7" x14ac:dyDescent="0.25">
      <c r="A13" s="19">
        <v>9</v>
      </c>
      <c r="B13" s="20" t="s">
        <v>24</v>
      </c>
      <c r="C13" s="19">
        <v>1</v>
      </c>
      <c r="D13" s="20" t="s">
        <v>66</v>
      </c>
      <c r="E13" s="20" t="s">
        <v>9</v>
      </c>
    </row>
    <row r="14" spans="1:7" x14ac:dyDescent="0.25">
      <c r="A14" s="21"/>
      <c r="B14" s="21" t="s">
        <v>25</v>
      </c>
      <c r="C14" s="22">
        <f>SUM(C5:C13)</f>
        <v>16</v>
      </c>
      <c r="D14" s="21"/>
      <c r="E14" s="21"/>
    </row>
    <row r="16" spans="1:7" x14ac:dyDescent="0.25">
      <c r="A16" s="38" t="s">
        <v>52</v>
      </c>
      <c r="B16" s="38"/>
      <c r="C16" s="38"/>
      <c r="D16" s="38"/>
      <c r="E16" s="38"/>
    </row>
    <row r="17" spans="1:13" x14ac:dyDescent="0.25">
      <c r="A17" s="23" t="s">
        <v>27</v>
      </c>
      <c r="B17" s="26" t="s">
        <v>63</v>
      </c>
      <c r="C17" s="23">
        <v>9</v>
      </c>
      <c r="D17" s="26" t="s">
        <v>139</v>
      </c>
      <c r="E17" s="1" t="s">
        <v>53</v>
      </c>
    </row>
    <row r="18" spans="1:13" x14ac:dyDescent="0.25">
      <c r="A18" s="21" t="s">
        <v>27</v>
      </c>
      <c r="B18" s="21" t="s">
        <v>54</v>
      </c>
      <c r="C18" s="22">
        <v>11</v>
      </c>
      <c r="D18" s="21" t="s">
        <v>219</v>
      </c>
      <c r="E18" s="21" t="s">
        <v>28</v>
      </c>
      <c r="H18" t="s">
        <v>146</v>
      </c>
      <c r="L18" t="s">
        <v>106</v>
      </c>
      <c r="M18" t="s">
        <v>107</v>
      </c>
    </row>
    <row r="19" spans="1:13" x14ac:dyDescent="0.25">
      <c r="A19" s="24"/>
      <c r="B19" s="24" t="s">
        <v>29</v>
      </c>
      <c r="C19" s="25">
        <f>SUM(C17:C18)</f>
        <v>20</v>
      </c>
      <c r="D19" s="24"/>
      <c r="E19" s="24"/>
      <c r="H19" t="s">
        <v>147</v>
      </c>
      <c r="I19" t="s">
        <v>216</v>
      </c>
      <c r="L19" t="s">
        <v>136</v>
      </c>
    </row>
    <row r="20" spans="1:13" x14ac:dyDescent="0.25">
      <c r="B20" t="s">
        <v>30</v>
      </c>
      <c r="C20">
        <f>C14+C19</f>
        <v>36</v>
      </c>
    </row>
    <row r="21" spans="1:13" x14ac:dyDescent="0.25">
      <c r="A21" s="38" t="s">
        <v>119</v>
      </c>
      <c r="B21" s="38"/>
      <c r="C21" s="38"/>
      <c r="D21" s="38"/>
      <c r="E21" s="38"/>
      <c r="H21" t="s">
        <v>148</v>
      </c>
      <c r="I21" t="s">
        <v>132</v>
      </c>
      <c r="M21" t="s">
        <v>133</v>
      </c>
    </row>
    <row r="22" spans="1:13" ht="24.95" customHeight="1" x14ac:dyDescent="0.25">
      <c r="A22" s="23">
        <v>10</v>
      </c>
      <c r="B22" s="26" t="s">
        <v>32</v>
      </c>
      <c r="C22" s="29" t="s">
        <v>130</v>
      </c>
      <c r="D22" s="35" t="s">
        <v>215</v>
      </c>
      <c r="E22" s="36"/>
    </row>
    <row r="23" spans="1:13" ht="24.95" customHeight="1" x14ac:dyDescent="0.25">
      <c r="A23" s="23">
        <v>11</v>
      </c>
      <c r="B23" s="1" t="s">
        <v>31</v>
      </c>
      <c r="C23" s="29" t="s">
        <v>130</v>
      </c>
      <c r="D23" s="35" t="s">
        <v>214</v>
      </c>
      <c r="E23" s="36"/>
      <c r="H23" t="s">
        <v>149</v>
      </c>
      <c r="I23" t="s">
        <v>123</v>
      </c>
      <c r="M23" t="s">
        <v>131</v>
      </c>
    </row>
    <row r="24" spans="1:13" ht="24.95" customHeight="1" x14ac:dyDescent="0.25">
      <c r="A24" s="23">
        <v>12</v>
      </c>
      <c r="B24" s="26" t="s">
        <v>33</v>
      </c>
      <c r="C24" s="29" t="s">
        <v>130</v>
      </c>
      <c r="D24" s="35" t="s">
        <v>213</v>
      </c>
      <c r="E24" s="36"/>
    </row>
    <row r="25" spans="1:13" ht="24.95" customHeight="1" x14ac:dyDescent="0.25">
      <c r="A25" s="23">
        <v>13</v>
      </c>
      <c r="B25" s="26" t="s">
        <v>37</v>
      </c>
      <c r="C25" s="29" t="s">
        <v>130</v>
      </c>
      <c r="D25" s="35" t="s">
        <v>212</v>
      </c>
      <c r="E25" s="36"/>
      <c r="H25" t="s">
        <v>150</v>
      </c>
      <c r="I25" t="s">
        <v>117</v>
      </c>
      <c r="M25" t="s">
        <v>122</v>
      </c>
    </row>
    <row r="26" spans="1:13" ht="24.95" customHeight="1" x14ac:dyDescent="0.25">
      <c r="A26" s="23">
        <v>14</v>
      </c>
      <c r="B26" s="26" t="s">
        <v>36</v>
      </c>
      <c r="C26" s="29" t="s">
        <v>130</v>
      </c>
      <c r="D26" s="35" t="s">
        <v>211</v>
      </c>
      <c r="E26" s="36"/>
    </row>
    <row r="27" spans="1:13" ht="24.95" customHeight="1" x14ac:dyDescent="0.25">
      <c r="A27" s="23">
        <v>15</v>
      </c>
      <c r="B27" s="26" t="s">
        <v>34</v>
      </c>
      <c r="C27" s="29" t="s">
        <v>130</v>
      </c>
      <c r="D27" s="35" t="s">
        <v>210</v>
      </c>
      <c r="E27" s="36"/>
      <c r="H27" t="s">
        <v>151</v>
      </c>
      <c r="I27" t="s">
        <v>116</v>
      </c>
      <c r="M27" t="s">
        <v>121</v>
      </c>
    </row>
    <row r="28" spans="1:13" ht="24.95" customHeight="1" x14ac:dyDescent="0.25">
      <c r="A28" s="23">
        <v>16</v>
      </c>
      <c r="B28" s="26" t="s">
        <v>70</v>
      </c>
      <c r="C28" s="29" t="s">
        <v>130</v>
      </c>
      <c r="D28" s="35" t="s">
        <v>209</v>
      </c>
      <c r="E28" s="36"/>
    </row>
    <row r="29" spans="1:13" ht="24.95" customHeight="1" x14ac:dyDescent="0.25">
      <c r="A29" s="23">
        <v>17</v>
      </c>
      <c r="B29" s="26" t="s">
        <v>71</v>
      </c>
      <c r="C29" s="29" t="s">
        <v>120</v>
      </c>
      <c r="D29" s="35" t="s">
        <v>208</v>
      </c>
      <c r="E29" s="36"/>
    </row>
    <row r="30" spans="1:13" ht="24.95" customHeight="1" x14ac:dyDescent="0.25">
      <c r="A30" s="23">
        <v>18</v>
      </c>
      <c r="B30" s="26" t="s">
        <v>38</v>
      </c>
      <c r="C30" s="29" t="s">
        <v>120</v>
      </c>
      <c r="D30" s="35" t="s">
        <v>207</v>
      </c>
      <c r="E30" s="36"/>
    </row>
    <row r="31" spans="1:13" ht="24.95" customHeight="1" x14ac:dyDescent="0.25">
      <c r="A31" s="23">
        <v>19</v>
      </c>
      <c r="B31" s="26" t="s">
        <v>72</v>
      </c>
      <c r="C31" s="29" t="s">
        <v>160</v>
      </c>
      <c r="D31" s="35" t="s">
        <v>206</v>
      </c>
      <c r="E31" s="36"/>
    </row>
    <row r="32" spans="1:13" ht="24.95" customHeight="1" x14ac:dyDescent="0.25">
      <c r="A32" s="23">
        <v>20</v>
      </c>
      <c r="B32" s="26" t="s">
        <v>35</v>
      </c>
      <c r="C32" s="29" t="s">
        <v>160</v>
      </c>
      <c r="D32" s="35" t="s">
        <v>205</v>
      </c>
      <c r="E32" s="36"/>
    </row>
    <row r="33" spans="1:5" ht="24.95" customHeight="1" x14ac:dyDescent="0.25">
      <c r="A33" s="23">
        <v>21</v>
      </c>
      <c r="B33" s="26" t="s">
        <v>73</v>
      </c>
      <c r="C33" s="29" t="s">
        <v>160</v>
      </c>
      <c r="D33" s="35" t="s">
        <v>204</v>
      </c>
      <c r="E33" s="36"/>
    </row>
    <row r="34" spans="1:5" ht="24.95" customHeight="1" x14ac:dyDescent="0.25">
      <c r="A34" s="23">
        <v>22</v>
      </c>
      <c r="B34" s="26" t="s">
        <v>74</v>
      </c>
      <c r="C34" s="29" t="s">
        <v>160</v>
      </c>
      <c r="D34" s="35" t="s">
        <v>203</v>
      </c>
      <c r="E34" s="36"/>
    </row>
    <row r="35" spans="1:5" ht="24.95" customHeight="1" x14ac:dyDescent="0.25">
      <c r="A35" s="23">
        <v>23</v>
      </c>
      <c r="B35" s="26" t="s">
        <v>39</v>
      </c>
      <c r="C35" s="29" t="s">
        <v>161</v>
      </c>
      <c r="D35" s="35" t="s">
        <v>202</v>
      </c>
      <c r="E35" s="36"/>
    </row>
    <row r="36" spans="1:5" ht="24.95" customHeight="1" x14ac:dyDescent="0.25">
      <c r="A36" s="23">
        <v>24</v>
      </c>
      <c r="B36" s="26" t="s">
        <v>75</v>
      </c>
      <c r="C36" s="29" t="s">
        <v>161</v>
      </c>
      <c r="D36" s="35" t="s">
        <v>201</v>
      </c>
      <c r="E36" s="36"/>
    </row>
    <row r="37" spans="1:5" ht="24.95" customHeight="1" x14ac:dyDescent="0.25">
      <c r="A37" s="23">
        <v>25</v>
      </c>
      <c r="B37" s="26" t="s">
        <v>76</v>
      </c>
      <c r="C37" s="29" t="s">
        <v>161</v>
      </c>
      <c r="D37" s="35" t="s">
        <v>200</v>
      </c>
      <c r="E37" s="36"/>
    </row>
    <row r="38" spans="1:5" ht="24.95" customHeight="1" x14ac:dyDescent="0.25">
      <c r="A38" s="23">
        <v>26</v>
      </c>
      <c r="B38" s="26" t="s">
        <v>77</v>
      </c>
      <c r="C38" s="29" t="s">
        <v>161</v>
      </c>
      <c r="D38" s="35" t="s">
        <v>199</v>
      </c>
      <c r="E38" s="36"/>
    </row>
    <row r="39" spans="1:5" ht="24.95" customHeight="1" x14ac:dyDescent="0.25">
      <c r="A39" s="23">
        <v>27</v>
      </c>
      <c r="B39" s="30" t="s">
        <v>78</v>
      </c>
      <c r="C39" s="29" t="s">
        <v>161</v>
      </c>
      <c r="D39" s="35" t="s">
        <v>198</v>
      </c>
      <c r="E39" s="36"/>
    </row>
    <row r="40" spans="1:5" ht="24.95" customHeight="1" x14ac:dyDescent="0.25">
      <c r="A40" s="23">
        <v>28</v>
      </c>
      <c r="B40" s="26" t="s">
        <v>80</v>
      </c>
      <c r="C40" s="29" t="s">
        <v>161</v>
      </c>
      <c r="D40" s="35" t="s">
        <v>197</v>
      </c>
      <c r="E40" s="36"/>
    </row>
    <row r="41" spans="1:5" ht="24.95" customHeight="1" x14ac:dyDescent="0.25">
      <c r="A41" s="23">
        <v>29</v>
      </c>
      <c r="B41" s="26" t="s">
        <v>41</v>
      </c>
      <c r="C41" s="29" t="s">
        <v>161</v>
      </c>
      <c r="D41" s="35" t="s">
        <v>196</v>
      </c>
      <c r="E41" s="36"/>
    </row>
    <row r="42" spans="1:5" ht="24.95" customHeight="1" x14ac:dyDescent="0.25">
      <c r="A42" s="23">
        <v>30</v>
      </c>
      <c r="B42" s="26" t="s">
        <v>79</v>
      </c>
      <c r="C42" s="29" t="s">
        <v>161</v>
      </c>
      <c r="D42" s="35" t="s">
        <v>195</v>
      </c>
      <c r="E42" s="36"/>
    </row>
    <row r="43" spans="1:5" ht="24.95" customHeight="1" x14ac:dyDescent="0.25">
      <c r="A43" s="23">
        <v>31</v>
      </c>
      <c r="B43" s="26" t="s">
        <v>40</v>
      </c>
      <c r="C43" s="29" t="s">
        <v>161</v>
      </c>
      <c r="D43" s="35" t="s">
        <v>194</v>
      </c>
      <c r="E43" s="36"/>
    </row>
    <row r="44" spans="1:5" ht="24.95" customHeight="1" x14ac:dyDescent="0.25">
      <c r="A44" s="23">
        <v>32</v>
      </c>
      <c r="B44" s="26" t="s">
        <v>81</v>
      </c>
      <c r="C44" s="29" t="s">
        <v>161</v>
      </c>
      <c r="D44" s="35" t="s">
        <v>193</v>
      </c>
      <c r="E44" s="36"/>
    </row>
    <row r="45" spans="1:5" ht="24.95" customHeight="1" x14ac:dyDescent="0.25">
      <c r="A45" s="23">
        <v>33</v>
      </c>
      <c r="B45" s="26" t="s">
        <v>82</v>
      </c>
      <c r="C45" s="29" t="s">
        <v>161</v>
      </c>
      <c r="D45" s="35" t="s">
        <v>192</v>
      </c>
      <c r="E45" s="36"/>
    </row>
    <row r="46" spans="1:5" ht="24.95" customHeight="1" x14ac:dyDescent="0.25">
      <c r="A46" s="23">
        <v>34</v>
      </c>
      <c r="B46" s="26" t="s">
        <v>83</v>
      </c>
      <c r="C46" s="29" t="s">
        <v>135</v>
      </c>
      <c r="D46" s="35" t="s">
        <v>191</v>
      </c>
      <c r="E46" s="36"/>
    </row>
    <row r="47" spans="1:5" ht="24.95" customHeight="1" x14ac:dyDescent="0.25">
      <c r="A47" s="23">
        <v>35</v>
      </c>
      <c r="B47" s="26" t="s">
        <v>84</v>
      </c>
      <c r="C47" s="29" t="s">
        <v>135</v>
      </c>
      <c r="D47" s="35" t="s">
        <v>190</v>
      </c>
      <c r="E47" s="36"/>
    </row>
    <row r="48" spans="1:5" ht="24.95" customHeight="1" x14ac:dyDescent="0.25">
      <c r="A48" s="23">
        <v>36</v>
      </c>
      <c r="B48" s="26" t="s">
        <v>85</v>
      </c>
      <c r="C48" s="29" t="s">
        <v>135</v>
      </c>
      <c r="D48" s="35" t="s">
        <v>189</v>
      </c>
      <c r="E48" s="36"/>
    </row>
    <row r="49" spans="1:5" ht="24.95" customHeight="1" x14ac:dyDescent="0.25">
      <c r="A49" s="23">
        <v>37</v>
      </c>
      <c r="B49" s="26" t="s">
        <v>86</v>
      </c>
      <c r="C49" s="29" t="s">
        <v>135</v>
      </c>
      <c r="D49" s="35" t="s">
        <v>186</v>
      </c>
      <c r="E49" s="36"/>
    </row>
    <row r="50" spans="1:5" ht="24.95" customHeight="1" x14ac:dyDescent="0.25">
      <c r="A50" s="23">
        <v>38</v>
      </c>
      <c r="B50" s="26" t="s">
        <v>87</v>
      </c>
      <c r="C50" s="29" t="s">
        <v>135</v>
      </c>
      <c r="D50" s="35" t="s">
        <v>185</v>
      </c>
      <c r="E50" s="36"/>
    </row>
    <row r="51" spans="1:5" ht="24.95" customHeight="1" x14ac:dyDescent="0.25">
      <c r="A51" s="23">
        <v>39</v>
      </c>
      <c r="B51" s="26" t="s">
        <v>88</v>
      </c>
      <c r="C51" s="29" t="s">
        <v>135</v>
      </c>
      <c r="D51" s="35" t="s">
        <v>184</v>
      </c>
      <c r="E51" s="36"/>
    </row>
    <row r="52" spans="1:5" ht="24.95" customHeight="1" x14ac:dyDescent="0.25">
      <c r="A52" s="23">
        <v>40</v>
      </c>
      <c r="B52" s="26" t="s">
        <v>89</v>
      </c>
      <c r="C52" s="29" t="s">
        <v>135</v>
      </c>
      <c r="D52" s="35" t="s">
        <v>183</v>
      </c>
      <c r="E52" s="36"/>
    </row>
    <row r="53" spans="1:5" ht="24.95" customHeight="1" x14ac:dyDescent="0.25">
      <c r="A53" s="23">
        <v>41</v>
      </c>
      <c r="B53" s="26" t="s">
        <v>90</v>
      </c>
      <c r="C53" s="29" t="s">
        <v>134</v>
      </c>
      <c r="D53" s="35" t="s">
        <v>187</v>
      </c>
      <c r="E53" s="36"/>
    </row>
    <row r="54" spans="1:5" ht="24.95" customHeight="1" x14ac:dyDescent="0.25">
      <c r="A54" s="23">
        <v>42</v>
      </c>
      <c r="B54" s="26" t="s">
        <v>91</v>
      </c>
      <c r="C54" s="29" t="s">
        <v>135</v>
      </c>
      <c r="D54" s="35" t="s">
        <v>182</v>
      </c>
      <c r="E54" s="36"/>
    </row>
    <row r="55" spans="1:5" ht="24.95" customHeight="1" x14ac:dyDescent="0.25">
      <c r="A55" s="23">
        <v>43</v>
      </c>
      <c r="B55" s="26" t="s">
        <v>92</v>
      </c>
      <c r="C55" s="29" t="s">
        <v>135</v>
      </c>
      <c r="D55" s="35" t="s">
        <v>181</v>
      </c>
      <c r="E55" s="36"/>
    </row>
    <row r="56" spans="1:5" ht="24.95" customHeight="1" x14ac:dyDescent="0.25">
      <c r="A56" s="23">
        <v>44</v>
      </c>
      <c r="B56" s="26" t="s">
        <v>93</v>
      </c>
      <c r="C56" s="29" t="s">
        <v>135</v>
      </c>
      <c r="D56" s="35" t="s">
        <v>180</v>
      </c>
      <c r="E56" s="36"/>
    </row>
    <row r="57" spans="1:5" ht="24.95" customHeight="1" x14ac:dyDescent="0.25">
      <c r="A57" s="23">
        <v>45</v>
      </c>
      <c r="B57" s="26" t="s">
        <v>94</v>
      </c>
      <c r="C57" s="29" t="s">
        <v>135</v>
      </c>
      <c r="D57" s="35" t="s">
        <v>179</v>
      </c>
      <c r="E57" s="36"/>
    </row>
    <row r="58" spans="1:5" ht="24.95" customHeight="1" x14ac:dyDescent="0.25">
      <c r="A58" s="23">
        <v>46</v>
      </c>
      <c r="B58" s="26" t="s">
        <v>95</v>
      </c>
      <c r="C58" s="29" t="s">
        <v>135</v>
      </c>
      <c r="D58" s="35" t="s">
        <v>178</v>
      </c>
      <c r="E58" s="36"/>
    </row>
    <row r="59" spans="1:5" ht="24.95" customHeight="1" x14ac:dyDescent="0.25">
      <c r="A59" s="23">
        <v>47</v>
      </c>
      <c r="B59" s="26" t="s">
        <v>96</v>
      </c>
      <c r="C59" s="29" t="s">
        <v>135</v>
      </c>
      <c r="D59" s="35" t="s">
        <v>177</v>
      </c>
      <c r="E59" s="36"/>
    </row>
    <row r="60" spans="1:5" ht="24.95" customHeight="1" x14ac:dyDescent="0.25">
      <c r="A60" s="23">
        <v>48</v>
      </c>
      <c r="B60" s="26" t="s">
        <v>97</v>
      </c>
      <c r="C60" s="29" t="s">
        <v>135</v>
      </c>
      <c r="D60" s="35" t="s">
        <v>176</v>
      </c>
      <c r="E60" s="36"/>
    </row>
    <row r="61" spans="1:5" ht="24.95" customHeight="1" x14ac:dyDescent="0.25">
      <c r="A61" s="23">
        <v>49</v>
      </c>
      <c r="B61" s="26" t="s">
        <v>98</v>
      </c>
      <c r="C61" s="29" t="s">
        <v>135</v>
      </c>
      <c r="D61" s="35" t="s">
        <v>175</v>
      </c>
      <c r="E61" s="36"/>
    </row>
    <row r="62" spans="1:5" ht="24.95" customHeight="1" x14ac:dyDescent="0.25">
      <c r="A62" s="23">
        <v>50</v>
      </c>
      <c r="B62" s="26" t="s">
        <v>99</v>
      </c>
      <c r="C62" s="29" t="s">
        <v>135</v>
      </c>
      <c r="D62" s="35" t="s">
        <v>174</v>
      </c>
      <c r="E62" s="36"/>
    </row>
    <row r="63" spans="1:5" ht="24.95" customHeight="1" x14ac:dyDescent="0.25">
      <c r="A63" s="23">
        <v>51</v>
      </c>
      <c r="B63" s="26" t="s">
        <v>100</v>
      </c>
      <c r="C63" s="29" t="s">
        <v>135</v>
      </c>
      <c r="D63" s="35" t="s">
        <v>173</v>
      </c>
      <c r="E63" s="36"/>
    </row>
    <row r="64" spans="1:5" ht="24.95" customHeight="1" x14ac:dyDescent="0.25">
      <c r="A64" s="23">
        <v>52</v>
      </c>
      <c r="B64" s="26" t="s">
        <v>101</v>
      </c>
      <c r="C64" s="29" t="s">
        <v>135</v>
      </c>
      <c r="D64" s="35" t="s">
        <v>172</v>
      </c>
      <c r="E64" s="36"/>
    </row>
    <row r="65" spans="1:5" ht="24.95" customHeight="1" x14ac:dyDescent="0.25">
      <c r="A65" s="23">
        <v>53</v>
      </c>
      <c r="B65" s="26" t="s">
        <v>102</v>
      </c>
      <c r="C65" s="29" t="s">
        <v>135</v>
      </c>
      <c r="D65" s="35" t="s">
        <v>170</v>
      </c>
      <c r="E65" s="36"/>
    </row>
    <row r="66" spans="1:5" ht="24.95" customHeight="1" x14ac:dyDescent="0.25">
      <c r="A66" s="23">
        <v>54</v>
      </c>
      <c r="B66" s="26" t="s">
        <v>103</v>
      </c>
      <c r="C66" s="29" t="s">
        <v>135</v>
      </c>
      <c r="D66" s="35" t="s">
        <v>171</v>
      </c>
      <c r="E66" s="36"/>
    </row>
    <row r="67" spans="1:5" ht="24.95" customHeight="1" x14ac:dyDescent="0.25">
      <c r="A67" s="23">
        <v>55</v>
      </c>
      <c r="B67" s="26" t="s">
        <v>104</v>
      </c>
      <c r="C67" s="29" t="s">
        <v>135</v>
      </c>
      <c r="D67" s="35" t="s">
        <v>115</v>
      </c>
      <c r="E67" s="36"/>
    </row>
    <row r="68" spans="1:5" x14ac:dyDescent="0.25">
      <c r="A68" s="34"/>
      <c r="B68" s="34"/>
      <c r="C68" s="34"/>
      <c r="D68" s="34"/>
      <c r="E68" s="34"/>
    </row>
    <row r="69" spans="1:5" x14ac:dyDescent="0.25">
      <c r="A69" s="34"/>
      <c r="B69" s="34"/>
      <c r="C69" s="34"/>
      <c r="D69" s="34"/>
      <c r="E69" s="34"/>
    </row>
    <row r="70" spans="1:5" x14ac:dyDescent="0.25">
      <c r="A70" s="34"/>
      <c r="B70" s="34"/>
      <c r="C70" s="34"/>
      <c r="D70" s="34"/>
      <c r="E70" s="34"/>
    </row>
    <row r="71" spans="1:5" x14ac:dyDescent="0.25">
      <c r="A71" s="34"/>
      <c r="B71" s="34"/>
      <c r="C71" s="34"/>
      <c r="D71" s="34"/>
      <c r="E71" s="34"/>
    </row>
  </sheetData>
  <mergeCells count="54">
    <mergeCell ref="D34:E34"/>
    <mergeCell ref="D35:E35"/>
    <mergeCell ref="D36:E36"/>
    <mergeCell ref="D37:E37"/>
    <mergeCell ref="D33:E33"/>
    <mergeCell ref="D28:E28"/>
    <mergeCell ref="D29:E29"/>
    <mergeCell ref="D30:E30"/>
    <mergeCell ref="D31:E31"/>
    <mergeCell ref="D32:E32"/>
    <mergeCell ref="D23:E23"/>
    <mergeCell ref="D25:E25"/>
    <mergeCell ref="D26:E26"/>
    <mergeCell ref="D27:E27"/>
    <mergeCell ref="D24:E24"/>
    <mergeCell ref="A1:E1"/>
    <mergeCell ref="A2:E2"/>
    <mergeCell ref="A16:E16"/>
    <mergeCell ref="D22:E22"/>
    <mergeCell ref="A21:E21"/>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63:E63"/>
    <mergeCell ref="D64:E64"/>
    <mergeCell ref="D65:E65"/>
    <mergeCell ref="D66:E66"/>
    <mergeCell ref="D58:E58"/>
    <mergeCell ref="D59:E59"/>
    <mergeCell ref="D60:E60"/>
    <mergeCell ref="D61:E61"/>
    <mergeCell ref="D62:E62"/>
    <mergeCell ref="A68:E68"/>
    <mergeCell ref="A69:E69"/>
    <mergeCell ref="A70:E70"/>
    <mergeCell ref="A71:E71"/>
    <mergeCell ref="D67:E67"/>
  </mergeCells>
  <phoneticPr fontId="7" type="noConversion"/>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68"/>
  <sheetViews>
    <sheetView showGridLines="0" tabSelected="1" zoomScaleNormal="100" workbookViewId="0">
      <pane ySplit="4" topLeftCell="A8" activePane="bottomLeft" state="frozen"/>
      <selection pane="bottomLeft" activeCell="D10" sqref="D10"/>
    </sheetView>
  </sheetViews>
  <sheetFormatPr defaultColWidth="8.7109375" defaultRowHeight="15" x14ac:dyDescent="0.25"/>
  <cols>
    <col min="1" max="1" width="11" customWidth="1"/>
    <col min="2" max="2" width="20" customWidth="1"/>
    <col min="3" max="3" width="19" customWidth="1"/>
    <col min="4" max="4" width="52" customWidth="1"/>
    <col min="5" max="5" width="30" customWidth="1"/>
  </cols>
  <sheetData>
    <row r="1" spans="1:5" ht="18" x14ac:dyDescent="0.25">
      <c r="A1" s="37" t="s">
        <v>55</v>
      </c>
      <c r="B1" s="37"/>
      <c r="C1" s="37"/>
      <c r="D1" s="37"/>
      <c r="E1" s="37"/>
    </row>
    <row r="2" spans="1:5" x14ac:dyDescent="0.25">
      <c r="A2" s="34" t="s">
        <v>1</v>
      </c>
      <c r="B2" s="34"/>
      <c r="C2" s="34"/>
      <c r="D2" s="34"/>
      <c r="E2" s="34"/>
    </row>
    <row r="4" spans="1:5" ht="25.5" x14ac:dyDescent="0.25">
      <c r="A4" s="2" t="s">
        <v>2</v>
      </c>
      <c r="B4" s="2" t="s">
        <v>3</v>
      </c>
      <c r="C4" s="2" t="s">
        <v>4</v>
      </c>
      <c r="D4" s="2" t="s">
        <v>5</v>
      </c>
      <c r="E4" s="2" t="s">
        <v>6</v>
      </c>
    </row>
    <row r="5" spans="1:5" x14ac:dyDescent="0.25">
      <c r="A5" s="3">
        <v>1</v>
      </c>
      <c r="B5" s="4" t="s">
        <v>7</v>
      </c>
      <c r="C5" s="3">
        <v>1</v>
      </c>
      <c r="D5" s="33" t="s">
        <v>154</v>
      </c>
      <c r="E5" s="4" t="s">
        <v>9</v>
      </c>
    </row>
    <row r="6" spans="1:5" x14ac:dyDescent="0.25">
      <c r="A6" s="5">
        <v>2</v>
      </c>
      <c r="B6" s="6" t="s">
        <v>10</v>
      </c>
      <c r="C6" s="5">
        <v>1</v>
      </c>
      <c r="D6" s="6" t="s">
        <v>56</v>
      </c>
      <c r="E6" s="6" t="s">
        <v>9</v>
      </c>
    </row>
    <row r="7" spans="1:5" x14ac:dyDescent="0.25">
      <c r="A7" s="7">
        <v>3</v>
      </c>
      <c r="B7" s="8" t="s">
        <v>12</v>
      </c>
      <c r="C7" s="7">
        <v>1</v>
      </c>
      <c r="D7" s="8" t="s">
        <v>57</v>
      </c>
      <c r="E7" s="8" t="s">
        <v>9</v>
      </c>
    </row>
    <row r="8" spans="1:5" x14ac:dyDescent="0.25">
      <c r="A8" s="9">
        <v>4</v>
      </c>
      <c r="B8" s="10" t="s">
        <v>14</v>
      </c>
      <c r="C8" s="9">
        <v>1</v>
      </c>
      <c r="D8" s="10" t="s">
        <v>58</v>
      </c>
      <c r="E8" s="10" t="s">
        <v>9</v>
      </c>
    </row>
    <row r="9" spans="1:5" x14ac:dyDescent="0.25">
      <c r="A9" s="11">
        <v>5</v>
      </c>
      <c r="B9" s="12" t="s">
        <v>16</v>
      </c>
      <c r="C9" s="11">
        <v>1</v>
      </c>
      <c r="D9" s="12" t="s">
        <v>59</v>
      </c>
      <c r="E9" s="12" t="s">
        <v>9</v>
      </c>
    </row>
    <row r="10" spans="1:5" x14ac:dyDescent="0.25">
      <c r="A10" s="13">
        <v>6</v>
      </c>
      <c r="B10" s="14" t="s">
        <v>18</v>
      </c>
      <c r="C10" s="13">
        <v>1</v>
      </c>
      <c r="D10" s="31" t="s">
        <v>220</v>
      </c>
      <c r="E10" s="14" t="s">
        <v>9</v>
      </c>
    </row>
    <row r="11" spans="1:5" x14ac:dyDescent="0.25">
      <c r="A11" s="15">
        <v>7</v>
      </c>
      <c r="B11" s="16" t="s">
        <v>20</v>
      </c>
      <c r="C11" s="15">
        <v>1</v>
      </c>
      <c r="D11" s="32" t="s">
        <v>221</v>
      </c>
      <c r="E11" s="16" t="s">
        <v>9</v>
      </c>
    </row>
    <row r="12" spans="1:5" x14ac:dyDescent="0.25">
      <c r="A12" s="17">
        <v>8</v>
      </c>
      <c r="B12" s="18" t="s">
        <v>22</v>
      </c>
      <c r="C12" s="17">
        <v>1</v>
      </c>
      <c r="D12" s="28" t="s">
        <v>138</v>
      </c>
      <c r="E12" s="18" t="s">
        <v>9</v>
      </c>
    </row>
    <row r="13" spans="1:5" x14ac:dyDescent="0.25">
      <c r="A13" s="19">
        <v>9</v>
      </c>
      <c r="B13" s="20" t="s">
        <v>24</v>
      </c>
      <c r="C13" s="19">
        <v>1</v>
      </c>
      <c r="D13" s="27" t="s">
        <v>137</v>
      </c>
      <c r="E13" s="20" t="s">
        <v>9</v>
      </c>
    </row>
    <row r="14" spans="1:5" x14ac:dyDescent="0.25">
      <c r="A14" s="21"/>
      <c r="B14" s="21" t="s">
        <v>25</v>
      </c>
      <c r="C14" s="22">
        <f>SUM(C5:C13)</f>
        <v>9</v>
      </c>
      <c r="D14" s="21"/>
      <c r="E14" s="21"/>
    </row>
    <row r="16" spans="1:5" x14ac:dyDescent="0.25">
      <c r="A16" s="38" t="s">
        <v>52</v>
      </c>
      <c r="B16" s="38"/>
      <c r="C16" s="38"/>
      <c r="D16" s="38"/>
      <c r="E16" s="38"/>
    </row>
    <row r="17" spans="1:13" x14ac:dyDescent="0.25">
      <c r="A17" s="23" t="s">
        <v>27</v>
      </c>
      <c r="B17" s="1" t="s">
        <v>60</v>
      </c>
      <c r="C17" s="23">
        <v>11</v>
      </c>
      <c r="D17" s="26" t="s">
        <v>140</v>
      </c>
      <c r="E17" s="1" t="s">
        <v>53</v>
      </c>
    </row>
    <row r="18" spans="1:13" x14ac:dyDescent="0.25">
      <c r="A18" s="23" t="s">
        <v>27</v>
      </c>
      <c r="B18" s="1" t="s">
        <v>61</v>
      </c>
      <c r="C18" s="23">
        <v>16</v>
      </c>
      <c r="D18" s="26" t="s">
        <v>144</v>
      </c>
      <c r="E18" s="1" t="s">
        <v>28</v>
      </c>
    </row>
    <row r="19" spans="1:13" x14ac:dyDescent="0.25">
      <c r="A19" s="21"/>
      <c r="B19" s="21" t="s">
        <v>29</v>
      </c>
      <c r="C19" s="22">
        <f>SUM(C17:C18)</f>
        <v>27</v>
      </c>
      <c r="D19" s="21"/>
      <c r="E19" s="21"/>
      <c r="H19" t="s">
        <v>146</v>
      </c>
      <c r="L19" t="s">
        <v>106</v>
      </c>
      <c r="M19" t="s">
        <v>107</v>
      </c>
    </row>
    <row r="20" spans="1:13" x14ac:dyDescent="0.25">
      <c r="A20" s="24"/>
      <c r="B20" s="24" t="s">
        <v>30</v>
      </c>
      <c r="C20" s="25">
        <f>C14+C19</f>
        <v>36</v>
      </c>
      <c r="D20" s="24"/>
      <c r="E20" s="24"/>
      <c r="H20" t="s">
        <v>148</v>
      </c>
      <c r="I20" t="s">
        <v>141</v>
      </c>
      <c r="L20" t="s">
        <v>169</v>
      </c>
    </row>
    <row r="22" spans="1:13" x14ac:dyDescent="0.25">
      <c r="A22" s="38" t="s">
        <v>119</v>
      </c>
      <c r="B22" s="38"/>
      <c r="C22" s="38"/>
      <c r="D22" s="38"/>
      <c r="E22" s="38"/>
      <c r="H22" t="s">
        <v>149</v>
      </c>
      <c r="I22" t="s">
        <v>163</v>
      </c>
      <c r="M22" t="s">
        <v>167</v>
      </c>
    </row>
    <row r="23" spans="1:13" ht="24.95" customHeight="1" x14ac:dyDescent="0.25">
      <c r="A23" s="23">
        <v>10</v>
      </c>
      <c r="B23" s="26" t="s">
        <v>32</v>
      </c>
      <c r="C23" s="29" t="s">
        <v>168</v>
      </c>
      <c r="D23" s="35" t="s">
        <v>215</v>
      </c>
      <c r="E23" s="36"/>
    </row>
    <row r="24" spans="1:13" ht="24.95" customHeight="1" x14ac:dyDescent="0.25">
      <c r="A24" s="23">
        <v>11</v>
      </c>
      <c r="B24" s="1" t="s">
        <v>31</v>
      </c>
      <c r="C24" s="29" t="s">
        <v>168</v>
      </c>
      <c r="D24" s="35" t="s">
        <v>214</v>
      </c>
      <c r="E24" s="36"/>
      <c r="H24" t="s">
        <v>150</v>
      </c>
      <c r="I24" t="s">
        <v>164</v>
      </c>
      <c r="M24" t="s">
        <v>166</v>
      </c>
    </row>
    <row r="25" spans="1:13" ht="24.95" customHeight="1" x14ac:dyDescent="0.25">
      <c r="A25" s="23">
        <v>12</v>
      </c>
      <c r="B25" s="26" t="s">
        <v>33</v>
      </c>
      <c r="C25" s="29" t="s">
        <v>168</v>
      </c>
      <c r="D25" s="35" t="s">
        <v>213</v>
      </c>
      <c r="E25" s="36"/>
    </row>
    <row r="26" spans="1:13" ht="24.95" customHeight="1" x14ac:dyDescent="0.25">
      <c r="A26" s="23">
        <v>13</v>
      </c>
      <c r="B26" s="26" t="s">
        <v>37</v>
      </c>
      <c r="C26" s="29" t="s">
        <v>168</v>
      </c>
      <c r="D26" s="35" t="s">
        <v>212</v>
      </c>
      <c r="E26" s="36"/>
      <c r="H26" t="s">
        <v>151</v>
      </c>
      <c r="I26" t="s">
        <v>165</v>
      </c>
      <c r="M26" t="s">
        <v>142</v>
      </c>
    </row>
    <row r="27" spans="1:13" ht="24.95" customHeight="1" x14ac:dyDescent="0.25">
      <c r="A27" s="23">
        <v>14</v>
      </c>
      <c r="B27" s="26" t="s">
        <v>36</v>
      </c>
      <c r="C27" s="29" t="s">
        <v>143</v>
      </c>
      <c r="D27" s="35" t="s">
        <v>211</v>
      </c>
      <c r="E27" s="36"/>
    </row>
    <row r="28" spans="1:13" ht="24.95" customHeight="1" x14ac:dyDescent="0.25">
      <c r="A28" s="23">
        <v>15</v>
      </c>
      <c r="B28" s="26" t="s">
        <v>34</v>
      </c>
      <c r="C28" s="29" t="s">
        <v>155</v>
      </c>
      <c r="D28" s="35" t="s">
        <v>210</v>
      </c>
      <c r="E28" s="36"/>
    </row>
    <row r="29" spans="1:13" ht="24.95" customHeight="1" x14ac:dyDescent="0.25">
      <c r="A29" s="23">
        <v>16</v>
      </c>
      <c r="B29" s="26" t="s">
        <v>70</v>
      </c>
      <c r="C29" s="29" t="s">
        <v>155</v>
      </c>
      <c r="D29" s="35" t="s">
        <v>209</v>
      </c>
      <c r="E29" s="36"/>
    </row>
    <row r="30" spans="1:13" ht="24.95" customHeight="1" x14ac:dyDescent="0.25">
      <c r="A30" s="23">
        <v>17</v>
      </c>
      <c r="B30" s="26" t="s">
        <v>71</v>
      </c>
      <c r="C30" s="29" t="s">
        <v>153</v>
      </c>
      <c r="D30" s="35" t="s">
        <v>208</v>
      </c>
      <c r="E30" s="36"/>
    </row>
    <row r="31" spans="1:13" ht="24.95" customHeight="1" x14ac:dyDescent="0.25">
      <c r="A31" s="23">
        <v>18</v>
      </c>
      <c r="B31" s="26" t="s">
        <v>38</v>
      </c>
      <c r="C31" s="29" t="s">
        <v>153</v>
      </c>
      <c r="D31" s="35" t="s">
        <v>207</v>
      </c>
      <c r="E31" s="36"/>
    </row>
    <row r="32" spans="1:13" ht="24.95" customHeight="1" x14ac:dyDescent="0.25">
      <c r="A32" s="23">
        <v>19</v>
      </c>
      <c r="B32" s="26" t="s">
        <v>72</v>
      </c>
      <c r="C32" s="29" t="s">
        <v>153</v>
      </c>
      <c r="D32" s="35" t="s">
        <v>206</v>
      </c>
      <c r="E32" s="36"/>
    </row>
    <row r="33" spans="1:5" ht="24.95" customHeight="1" x14ac:dyDescent="0.25">
      <c r="A33" s="23">
        <v>20</v>
      </c>
      <c r="B33" s="26" t="s">
        <v>35</v>
      </c>
      <c r="C33" s="29" t="s">
        <v>156</v>
      </c>
      <c r="D33" s="35" t="s">
        <v>205</v>
      </c>
      <c r="E33" s="36"/>
    </row>
    <row r="34" spans="1:5" ht="24.95" customHeight="1" x14ac:dyDescent="0.25">
      <c r="A34" s="23">
        <v>21</v>
      </c>
      <c r="B34" s="26" t="s">
        <v>73</v>
      </c>
      <c r="C34" s="29" t="s">
        <v>156</v>
      </c>
      <c r="D34" s="35" t="s">
        <v>204</v>
      </c>
      <c r="E34" s="36"/>
    </row>
    <row r="35" spans="1:5" ht="24.95" customHeight="1" x14ac:dyDescent="0.25">
      <c r="A35" s="23">
        <v>22</v>
      </c>
      <c r="B35" s="26" t="s">
        <v>74</v>
      </c>
      <c r="C35" s="29" t="s">
        <v>156</v>
      </c>
      <c r="D35" s="35" t="s">
        <v>203</v>
      </c>
      <c r="E35" s="36"/>
    </row>
    <row r="36" spans="1:5" ht="24.95" customHeight="1" x14ac:dyDescent="0.25">
      <c r="A36" s="23">
        <v>23</v>
      </c>
      <c r="B36" s="26" t="s">
        <v>39</v>
      </c>
      <c r="C36" s="29" t="s">
        <v>156</v>
      </c>
      <c r="D36" s="35" t="s">
        <v>202</v>
      </c>
      <c r="E36" s="36"/>
    </row>
    <row r="37" spans="1:5" ht="24.95" customHeight="1" x14ac:dyDescent="0.25">
      <c r="A37" s="23">
        <v>24</v>
      </c>
      <c r="B37" s="26" t="s">
        <v>75</v>
      </c>
      <c r="C37" s="29" t="s">
        <v>156</v>
      </c>
      <c r="D37" s="35" t="s">
        <v>201</v>
      </c>
      <c r="E37" s="36"/>
    </row>
    <row r="38" spans="1:5" ht="24.95" customHeight="1" x14ac:dyDescent="0.25">
      <c r="A38" s="23">
        <v>25</v>
      </c>
      <c r="B38" s="26" t="s">
        <v>76</v>
      </c>
      <c r="C38" s="29" t="s">
        <v>156</v>
      </c>
      <c r="D38" s="35" t="s">
        <v>200</v>
      </c>
      <c r="E38" s="36"/>
    </row>
    <row r="39" spans="1:5" ht="24.95" customHeight="1" x14ac:dyDescent="0.25">
      <c r="A39" s="23">
        <v>26</v>
      </c>
      <c r="B39" s="26" t="s">
        <v>77</v>
      </c>
      <c r="C39" s="29" t="s">
        <v>156</v>
      </c>
      <c r="D39" s="35" t="s">
        <v>199</v>
      </c>
      <c r="E39" s="36"/>
    </row>
    <row r="40" spans="1:5" ht="24.95" customHeight="1" x14ac:dyDescent="0.25">
      <c r="A40" s="23">
        <v>27</v>
      </c>
      <c r="B40" s="30" t="s">
        <v>78</v>
      </c>
      <c r="C40" s="29" t="s">
        <v>162</v>
      </c>
      <c r="D40" s="35" t="s">
        <v>198</v>
      </c>
      <c r="E40" s="36"/>
    </row>
    <row r="41" spans="1:5" ht="24.95" customHeight="1" x14ac:dyDescent="0.25">
      <c r="A41" s="23">
        <v>28</v>
      </c>
      <c r="B41" s="26" t="s">
        <v>80</v>
      </c>
      <c r="C41" s="29" t="s">
        <v>162</v>
      </c>
      <c r="D41" s="35" t="s">
        <v>197</v>
      </c>
      <c r="E41" s="36"/>
    </row>
    <row r="42" spans="1:5" ht="24.95" customHeight="1" x14ac:dyDescent="0.25">
      <c r="A42" s="23">
        <v>29</v>
      </c>
      <c r="B42" s="26" t="s">
        <v>41</v>
      </c>
      <c r="C42" s="29" t="s">
        <v>162</v>
      </c>
      <c r="D42" s="35" t="s">
        <v>196</v>
      </c>
      <c r="E42" s="36"/>
    </row>
    <row r="43" spans="1:5" ht="24.95" customHeight="1" x14ac:dyDescent="0.25">
      <c r="A43" s="23">
        <v>30</v>
      </c>
      <c r="B43" s="26" t="s">
        <v>79</v>
      </c>
      <c r="C43" s="29" t="s">
        <v>162</v>
      </c>
      <c r="D43" s="35" t="s">
        <v>195</v>
      </c>
      <c r="E43" s="36"/>
    </row>
    <row r="44" spans="1:5" ht="24.95" customHeight="1" x14ac:dyDescent="0.25">
      <c r="A44" s="23">
        <v>31</v>
      </c>
      <c r="B44" s="26" t="s">
        <v>40</v>
      </c>
      <c r="C44" s="29" t="s">
        <v>162</v>
      </c>
      <c r="D44" s="35" t="s">
        <v>194</v>
      </c>
      <c r="E44" s="36"/>
    </row>
    <row r="45" spans="1:5" ht="24.95" customHeight="1" x14ac:dyDescent="0.25">
      <c r="A45" s="23">
        <v>32</v>
      </c>
      <c r="B45" s="26" t="s">
        <v>81</v>
      </c>
      <c r="C45" s="29" t="s">
        <v>162</v>
      </c>
      <c r="D45" s="35" t="s">
        <v>193</v>
      </c>
      <c r="E45" s="36"/>
    </row>
    <row r="46" spans="1:5" ht="24.95" customHeight="1" x14ac:dyDescent="0.25">
      <c r="A46" s="23">
        <v>33</v>
      </c>
      <c r="B46" s="26" t="s">
        <v>82</v>
      </c>
      <c r="C46" s="29" t="s">
        <v>162</v>
      </c>
      <c r="D46" s="35" t="s">
        <v>192</v>
      </c>
      <c r="E46" s="36"/>
    </row>
    <row r="47" spans="1:5" ht="24.95" customHeight="1" x14ac:dyDescent="0.25">
      <c r="A47" s="23">
        <v>34</v>
      </c>
      <c r="B47" s="26" t="s">
        <v>83</v>
      </c>
      <c r="C47" s="29" t="s">
        <v>162</v>
      </c>
      <c r="D47" s="35" t="s">
        <v>191</v>
      </c>
      <c r="E47" s="36"/>
    </row>
    <row r="48" spans="1:5" ht="24.95" customHeight="1" x14ac:dyDescent="0.25">
      <c r="A48" s="23">
        <v>35</v>
      </c>
      <c r="B48" s="26" t="s">
        <v>84</v>
      </c>
      <c r="C48" s="29" t="s">
        <v>162</v>
      </c>
      <c r="D48" s="35" t="s">
        <v>190</v>
      </c>
      <c r="E48" s="36"/>
    </row>
    <row r="49" spans="1:5" ht="24.95" customHeight="1" x14ac:dyDescent="0.25">
      <c r="A49" s="23">
        <v>36</v>
      </c>
      <c r="B49" s="26" t="s">
        <v>85</v>
      </c>
      <c r="C49" s="29" t="s">
        <v>162</v>
      </c>
      <c r="D49" s="35" t="s">
        <v>189</v>
      </c>
      <c r="E49" s="36"/>
    </row>
    <row r="50" spans="1:5" ht="24.95" customHeight="1" x14ac:dyDescent="0.25">
      <c r="A50" s="23">
        <v>37</v>
      </c>
      <c r="B50" s="26" t="s">
        <v>86</v>
      </c>
      <c r="C50" s="29" t="s">
        <v>162</v>
      </c>
      <c r="D50" s="35" t="s">
        <v>186</v>
      </c>
      <c r="E50" s="36"/>
    </row>
    <row r="51" spans="1:5" ht="24.95" customHeight="1" x14ac:dyDescent="0.25">
      <c r="A51" s="23">
        <v>38</v>
      </c>
      <c r="B51" s="26" t="s">
        <v>87</v>
      </c>
      <c r="C51" s="29" t="s">
        <v>162</v>
      </c>
      <c r="D51" s="35" t="s">
        <v>185</v>
      </c>
      <c r="E51" s="36"/>
    </row>
    <row r="52" spans="1:5" ht="24.95" customHeight="1" x14ac:dyDescent="0.25">
      <c r="A52" s="23">
        <v>39</v>
      </c>
      <c r="B52" s="26" t="s">
        <v>88</v>
      </c>
      <c r="C52" s="29" t="s">
        <v>162</v>
      </c>
      <c r="D52" s="35" t="s">
        <v>184</v>
      </c>
      <c r="E52" s="36"/>
    </row>
    <row r="53" spans="1:5" ht="24.95" customHeight="1" x14ac:dyDescent="0.25">
      <c r="A53" s="23">
        <v>40</v>
      </c>
      <c r="B53" s="26" t="s">
        <v>89</v>
      </c>
      <c r="C53" s="29" t="s">
        <v>162</v>
      </c>
      <c r="D53" s="35" t="s">
        <v>183</v>
      </c>
      <c r="E53" s="36"/>
    </row>
    <row r="54" spans="1:5" ht="24.95" customHeight="1" x14ac:dyDescent="0.25">
      <c r="A54" s="23">
        <v>41</v>
      </c>
      <c r="B54" s="26" t="s">
        <v>90</v>
      </c>
      <c r="C54" s="29" t="s">
        <v>145</v>
      </c>
      <c r="D54" s="36" t="s">
        <v>109</v>
      </c>
      <c r="E54" s="36"/>
    </row>
    <row r="55" spans="1:5" ht="24.95" customHeight="1" x14ac:dyDescent="0.25">
      <c r="A55" s="23">
        <v>42</v>
      </c>
      <c r="B55" s="26" t="s">
        <v>91</v>
      </c>
      <c r="C55" s="29" t="s">
        <v>162</v>
      </c>
      <c r="D55" s="35" t="s">
        <v>182</v>
      </c>
      <c r="E55" s="36"/>
    </row>
    <row r="56" spans="1:5" ht="24.95" customHeight="1" x14ac:dyDescent="0.25">
      <c r="A56" s="23">
        <v>43</v>
      </c>
      <c r="B56" s="26" t="s">
        <v>92</v>
      </c>
      <c r="C56" s="29" t="s">
        <v>162</v>
      </c>
      <c r="D56" s="35" t="s">
        <v>181</v>
      </c>
      <c r="E56" s="36"/>
    </row>
    <row r="57" spans="1:5" ht="24.95" customHeight="1" x14ac:dyDescent="0.25">
      <c r="A57" s="23">
        <v>44</v>
      </c>
      <c r="B57" s="26" t="s">
        <v>93</v>
      </c>
      <c r="C57" s="29" t="s">
        <v>162</v>
      </c>
      <c r="D57" s="35" t="s">
        <v>180</v>
      </c>
      <c r="E57" s="36"/>
    </row>
    <row r="58" spans="1:5" ht="24.95" customHeight="1" x14ac:dyDescent="0.25">
      <c r="A58" s="23">
        <v>45</v>
      </c>
      <c r="B58" s="26" t="s">
        <v>94</v>
      </c>
      <c r="C58" s="29" t="s">
        <v>162</v>
      </c>
      <c r="D58" s="35" t="s">
        <v>179</v>
      </c>
      <c r="E58" s="36"/>
    </row>
    <row r="59" spans="1:5" ht="24.95" customHeight="1" x14ac:dyDescent="0.25">
      <c r="A59" s="23">
        <v>46</v>
      </c>
      <c r="B59" s="26" t="s">
        <v>95</v>
      </c>
      <c r="C59" s="29" t="s">
        <v>162</v>
      </c>
      <c r="D59" s="35" t="s">
        <v>178</v>
      </c>
      <c r="E59" s="36"/>
    </row>
    <row r="60" spans="1:5" ht="24.95" customHeight="1" x14ac:dyDescent="0.25">
      <c r="A60" s="23">
        <v>47</v>
      </c>
      <c r="B60" s="26" t="s">
        <v>96</v>
      </c>
      <c r="C60" s="29" t="s">
        <v>162</v>
      </c>
      <c r="D60" s="35" t="s">
        <v>177</v>
      </c>
      <c r="E60" s="36"/>
    </row>
    <row r="61" spans="1:5" ht="24.95" customHeight="1" x14ac:dyDescent="0.25">
      <c r="A61" s="23">
        <v>48</v>
      </c>
      <c r="B61" s="26" t="s">
        <v>97</v>
      </c>
      <c r="C61" s="29" t="s">
        <v>162</v>
      </c>
      <c r="D61" s="35" t="s">
        <v>176</v>
      </c>
      <c r="E61" s="36"/>
    </row>
    <row r="62" spans="1:5" ht="24.95" customHeight="1" x14ac:dyDescent="0.25">
      <c r="A62" s="23">
        <v>49</v>
      </c>
      <c r="B62" s="26" t="s">
        <v>98</v>
      </c>
      <c r="C62" s="29" t="s">
        <v>162</v>
      </c>
      <c r="D62" s="35" t="s">
        <v>175</v>
      </c>
      <c r="E62" s="36"/>
    </row>
    <row r="63" spans="1:5" ht="24.95" customHeight="1" x14ac:dyDescent="0.25">
      <c r="A63" s="23">
        <v>50</v>
      </c>
      <c r="B63" s="26" t="s">
        <v>99</v>
      </c>
      <c r="C63" s="29" t="s">
        <v>162</v>
      </c>
      <c r="D63" s="35" t="s">
        <v>174</v>
      </c>
      <c r="E63" s="36"/>
    </row>
    <row r="64" spans="1:5" ht="24.95" customHeight="1" x14ac:dyDescent="0.25">
      <c r="A64" s="23">
        <v>51</v>
      </c>
      <c r="B64" s="26" t="s">
        <v>100</v>
      </c>
      <c r="C64" s="29" t="s">
        <v>162</v>
      </c>
      <c r="D64" s="35" t="s">
        <v>173</v>
      </c>
      <c r="E64" s="36"/>
    </row>
    <row r="65" spans="1:5" ht="24.95" customHeight="1" x14ac:dyDescent="0.25">
      <c r="A65" s="23">
        <v>52</v>
      </c>
      <c r="B65" s="26" t="s">
        <v>101</v>
      </c>
      <c r="C65" s="29" t="s">
        <v>162</v>
      </c>
      <c r="D65" s="35" t="s">
        <v>172</v>
      </c>
      <c r="E65" s="36"/>
    </row>
    <row r="66" spans="1:5" ht="24.95" customHeight="1" x14ac:dyDescent="0.25">
      <c r="A66" s="23">
        <v>53</v>
      </c>
      <c r="B66" s="26" t="s">
        <v>102</v>
      </c>
      <c r="C66" s="29" t="s">
        <v>162</v>
      </c>
      <c r="D66" s="35" t="s">
        <v>170</v>
      </c>
      <c r="E66" s="36"/>
    </row>
    <row r="67" spans="1:5" ht="24.95" customHeight="1" x14ac:dyDescent="0.25">
      <c r="A67" s="23">
        <v>54</v>
      </c>
      <c r="B67" s="26" t="s">
        <v>103</v>
      </c>
      <c r="C67" s="29" t="s">
        <v>162</v>
      </c>
      <c r="D67" s="35" t="s">
        <v>171</v>
      </c>
      <c r="E67" s="36"/>
    </row>
    <row r="68" spans="1:5" ht="24.95" customHeight="1" x14ac:dyDescent="0.25">
      <c r="A68" s="23">
        <v>55</v>
      </c>
      <c r="B68" s="26" t="s">
        <v>104</v>
      </c>
      <c r="C68" s="29" t="s">
        <v>162</v>
      </c>
      <c r="D68" s="35" t="s">
        <v>115</v>
      </c>
      <c r="E68" s="36"/>
    </row>
  </sheetData>
  <mergeCells count="50">
    <mergeCell ref="D35:E35"/>
    <mergeCell ref="D36:E36"/>
    <mergeCell ref="D37:E37"/>
    <mergeCell ref="D38:E38"/>
    <mergeCell ref="D34:E34"/>
    <mergeCell ref="D29:E29"/>
    <mergeCell ref="D30:E30"/>
    <mergeCell ref="D31:E31"/>
    <mergeCell ref="D32:E32"/>
    <mergeCell ref="D33:E33"/>
    <mergeCell ref="D24:E24"/>
    <mergeCell ref="D25:E25"/>
    <mergeCell ref="D26:E26"/>
    <mergeCell ref="D27:E27"/>
    <mergeCell ref="D28:E28"/>
    <mergeCell ref="A1:E1"/>
    <mergeCell ref="A2:E2"/>
    <mergeCell ref="A16:E16"/>
    <mergeCell ref="A22:E22"/>
    <mergeCell ref="D23:E23"/>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s>
  <phoneticPr fontId="7" type="noConversion"/>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UCL</vt:lpstr>
      <vt:lpstr>UEL</vt:lpstr>
      <vt:lpstr>UECL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Jens Eric Weirich</cp:lastModifiedBy>
  <cp:revision>0</cp:revision>
  <dcterms:created xsi:type="dcterms:W3CDTF">2026-07-12T20:35:38Z</dcterms:created>
  <dcterms:modified xsi:type="dcterms:W3CDTF">2026-07-15T15:08:41Z</dcterms:modified>
  <dc:language>en-US</dc:language>
</cp:coreProperties>
</file>