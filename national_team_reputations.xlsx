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ns\Documents\fussball-agent-app\FootballAgent\"/>
    </mc:Choice>
  </mc:AlternateContent>
  <xr:revisionPtr revIDLastSave="0" documentId="13_ncr:1_{5D08AAFB-8586-4EAE-B9FE-C092BE414C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ational Teams" sheetId="1" r:id="rId1"/>
    <sheet name="By Confederation" sheetId="2" r:id="rId2"/>
    <sheet name="Notes" sheetId="3" r:id="rId3"/>
  </sheets>
  <definedNames>
    <definedName name="_xlnm._FilterDatabase" localSheetId="0" hidden="1">'National Teams'!$A$1:$K$212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2" i="1" l="1"/>
  <c r="F198" i="1"/>
  <c r="H198" i="1" s="1"/>
  <c r="E8" i="2"/>
  <c r="D8" i="2"/>
  <c r="C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B8" i="2" s="1"/>
  <c r="A212" i="1"/>
  <c r="F211" i="1"/>
  <c r="H211" i="1" s="1"/>
  <c r="A211" i="1"/>
  <c r="F210" i="1"/>
  <c r="H210" i="1" s="1"/>
  <c r="A210" i="1"/>
  <c r="F209" i="1"/>
  <c r="H209" i="1" s="1"/>
  <c r="A209" i="1"/>
  <c r="F208" i="1"/>
  <c r="H208" i="1" s="1"/>
  <c r="A208" i="1"/>
  <c r="F207" i="1"/>
  <c r="H207" i="1" s="1"/>
  <c r="A207" i="1"/>
  <c r="F206" i="1"/>
  <c r="H206" i="1" s="1"/>
  <c r="A206" i="1"/>
  <c r="F205" i="1"/>
  <c r="H205" i="1" s="1"/>
  <c r="A205" i="1"/>
  <c r="F204" i="1"/>
  <c r="H204" i="1" s="1"/>
  <c r="A204" i="1"/>
  <c r="F203" i="1"/>
  <c r="H203" i="1" s="1"/>
  <c r="A203" i="1"/>
  <c r="F202" i="1"/>
  <c r="H202" i="1" s="1"/>
  <c r="A202" i="1"/>
  <c r="F201" i="1"/>
  <c r="H201" i="1" s="1"/>
  <c r="A201" i="1"/>
  <c r="F200" i="1"/>
  <c r="H200" i="1" s="1"/>
  <c r="A200" i="1"/>
  <c r="F199" i="1"/>
  <c r="H199" i="1" s="1"/>
  <c r="A199" i="1"/>
  <c r="A198" i="1"/>
  <c r="F197" i="1"/>
  <c r="H197" i="1" s="1"/>
  <c r="A197" i="1"/>
  <c r="F196" i="1"/>
  <c r="H196" i="1" s="1"/>
  <c r="A196" i="1"/>
  <c r="F195" i="1"/>
  <c r="H195" i="1" s="1"/>
  <c r="A195" i="1"/>
  <c r="F194" i="1"/>
  <c r="H194" i="1" s="1"/>
  <c r="A194" i="1"/>
  <c r="F193" i="1"/>
  <c r="H193" i="1" s="1"/>
  <c r="A193" i="1"/>
  <c r="F192" i="1"/>
  <c r="H192" i="1" s="1"/>
  <c r="A192" i="1"/>
  <c r="F191" i="1"/>
  <c r="H191" i="1" s="1"/>
  <c r="A191" i="1"/>
  <c r="F190" i="1"/>
  <c r="H190" i="1" s="1"/>
  <c r="A190" i="1"/>
  <c r="F189" i="1"/>
  <c r="H189" i="1" s="1"/>
  <c r="A189" i="1"/>
  <c r="F188" i="1"/>
  <c r="H188" i="1" s="1"/>
  <c r="A188" i="1"/>
  <c r="F187" i="1"/>
  <c r="H187" i="1" s="1"/>
  <c r="A187" i="1"/>
  <c r="F186" i="1"/>
  <c r="H186" i="1" s="1"/>
  <c r="A186" i="1"/>
  <c r="F185" i="1"/>
  <c r="H185" i="1" s="1"/>
  <c r="A185" i="1"/>
  <c r="F184" i="1"/>
  <c r="H184" i="1" s="1"/>
  <c r="A184" i="1"/>
  <c r="F183" i="1"/>
  <c r="H183" i="1" s="1"/>
  <c r="A183" i="1"/>
  <c r="F182" i="1"/>
  <c r="H182" i="1" s="1"/>
  <c r="A182" i="1"/>
  <c r="F181" i="1"/>
  <c r="H181" i="1" s="1"/>
  <c r="A181" i="1"/>
  <c r="F180" i="1"/>
  <c r="H180" i="1" s="1"/>
  <c r="A180" i="1"/>
  <c r="F179" i="1"/>
  <c r="H179" i="1" s="1"/>
  <c r="A179" i="1"/>
  <c r="F178" i="1"/>
  <c r="H178" i="1" s="1"/>
  <c r="A178" i="1"/>
  <c r="F177" i="1"/>
  <c r="H177" i="1" s="1"/>
  <c r="A177" i="1"/>
  <c r="F176" i="1"/>
  <c r="H176" i="1" s="1"/>
  <c r="A176" i="1"/>
  <c r="F175" i="1"/>
  <c r="H175" i="1" s="1"/>
  <c r="A175" i="1"/>
  <c r="F174" i="1"/>
  <c r="H174" i="1" s="1"/>
  <c r="A174" i="1"/>
  <c r="F173" i="1"/>
  <c r="H173" i="1" s="1"/>
  <c r="A173" i="1"/>
  <c r="F172" i="1"/>
  <c r="H172" i="1" s="1"/>
  <c r="A172" i="1"/>
  <c r="F171" i="1"/>
  <c r="H171" i="1" s="1"/>
  <c r="A171" i="1"/>
  <c r="F170" i="1"/>
  <c r="H170" i="1" s="1"/>
  <c r="A170" i="1"/>
  <c r="F169" i="1"/>
  <c r="H169" i="1" s="1"/>
  <c r="A169" i="1"/>
  <c r="F168" i="1"/>
  <c r="H168" i="1" s="1"/>
  <c r="A168" i="1"/>
  <c r="F167" i="1"/>
  <c r="H167" i="1" s="1"/>
  <c r="A167" i="1"/>
  <c r="F166" i="1"/>
  <c r="H166" i="1" s="1"/>
  <c r="A166" i="1"/>
  <c r="F165" i="1"/>
  <c r="H165" i="1" s="1"/>
  <c r="A165" i="1"/>
  <c r="F164" i="1"/>
  <c r="H164" i="1" s="1"/>
  <c r="A164" i="1"/>
  <c r="F163" i="1"/>
  <c r="H163" i="1" s="1"/>
  <c r="A163" i="1"/>
  <c r="F162" i="1"/>
  <c r="H162" i="1" s="1"/>
  <c r="A162" i="1"/>
  <c r="F161" i="1"/>
  <c r="H161" i="1" s="1"/>
  <c r="A161" i="1"/>
  <c r="F160" i="1"/>
  <c r="H160" i="1" s="1"/>
  <c r="A160" i="1"/>
  <c r="F159" i="1"/>
  <c r="H159" i="1" s="1"/>
  <c r="A159" i="1"/>
  <c r="F158" i="1"/>
  <c r="H158" i="1" s="1"/>
  <c r="A158" i="1"/>
  <c r="F157" i="1"/>
  <c r="H157" i="1" s="1"/>
  <c r="A157" i="1"/>
  <c r="F156" i="1"/>
  <c r="H156" i="1" s="1"/>
  <c r="A156" i="1"/>
  <c r="F155" i="1"/>
  <c r="H155" i="1" s="1"/>
  <c r="A155" i="1"/>
  <c r="F154" i="1"/>
  <c r="H154" i="1" s="1"/>
  <c r="A154" i="1"/>
  <c r="F153" i="1"/>
  <c r="H153" i="1" s="1"/>
  <c r="A153" i="1"/>
  <c r="F152" i="1"/>
  <c r="H152" i="1" s="1"/>
  <c r="A152" i="1"/>
  <c r="F151" i="1"/>
  <c r="H151" i="1" s="1"/>
  <c r="A151" i="1"/>
  <c r="F150" i="1"/>
  <c r="H150" i="1" s="1"/>
  <c r="A150" i="1"/>
  <c r="F149" i="1"/>
  <c r="H149" i="1" s="1"/>
  <c r="A149" i="1"/>
  <c r="F148" i="1"/>
  <c r="H148" i="1" s="1"/>
  <c r="A148" i="1"/>
  <c r="F147" i="1"/>
  <c r="H147" i="1" s="1"/>
  <c r="A147" i="1"/>
  <c r="F146" i="1"/>
  <c r="H146" i="1" s="1"/>
  <c r="A146" i="1"/>
  <c r="F145" i="1"/>
  <c r="H145" i="1" s="1"/>
  <c r="A145" i="1"/>
  <c r="F144" i="1"/>
  <c r="H144" i="1" s="1"/>
  <c r="A144" i="1"/>
  <c r="F143" i="1"/>
  <c r="H143" i="1" s="1"/>
  <c r="A143" i="1"/>
  <c r="F142" i="1"/>
  <c r="H142" i="1" s="1"/>
  <c r="A142" i="1"/>
  <c r="F141" i="1"/>
  <c r="H141" i="1" s="1"/>
  <c r="A141" i="1"/>
  <c r="F140" i="1"/>
  <c r="H140" i="1" s="1"/>
  <c r="A140" i="1"/>
  <c r="F139" i="1"/>
  <c r="H139" i="1" s="1"/>
  <c r="A139" i="1"/>
  <c r="F138" i="1"/>
  <c r="H138" i="1" s="1"/>
  <c r="A138" i="1"/>
  <c r="F137" i="1"/>
  <c r="H137" i="1" s="1"/>
  <c r="A137" i="1"/>
  <c r="F136" i="1"/>
  <c r="H136" i="1" s="1"/>
  <c r="A136" i="1"/>
  <c r="F135" i="1"/>
  <c r="H135" i="1" s="1"/>
  <c r="A135" i="1"/>
  <c r="F134" i="1"/>
  <c r="H134" i="1" s="1"/>
  <c r="A134" i="1"/>
  <c r="F133" i="1"/>
  <c r="H133" i="1" s="1"/>
  <c r="A133" i="1"/>
  <c r="F132" i="1"/>
  <c r="H132" i="1" s="1"/>
  <c r="A132" i="1"/>
  <c r="F131" i="1"/>
  <c r="H131" i="1" s="1"/>
  <c r="A131" i="1"/>
  <c r="F130" i="1"/>
  <c r="H130" i="1" s="1"/>
  <c r="A130" i="1"/>
  <c r="F129" i="1"/>
  <c r="H129" i="1" s="1"/>
  <c r="A129" i="1"/>
  <c r="F128" i="1"/>
  <c r="H128" i="1" s="1"/>
  <c r="A128" i="1"/>
  <c r="F127" i="1"/>
  <c r="H127" i="1" s="1"/>
  <c r="A127" i="1"/>
  <c r="F126" i="1"/>
  <c r="H126" i="1" s="1"/>
  <c r="A126" i="1"/>
  <c r="F125" i="1"/>
  <c r="H125" i="1" s="1"/>
  <c r="A125" i="1"/>
  <c r="F124" i="1"/>
  <c r="H124" i="1" s="1"/>
  <c r="A124" i="1"/>
  <c r="F123" i="1"/>
  <c r="H123" i="1" s="1"/>
  <c r="A123" i="1"/>
  <c r="F122" i="1"/>
  <c r="H122" i="1" s="1"/>
  <c r="A122" i="1"/>
  <c r="F121" i="1"/>
  <c r="H121" i="1" s="1"/>
  <c r="A121" i="1"/>
  <c r="F120" i="1"/>
  <c r="H120" i="1" s="1"/>
  <c r="A120" i="1"/>
  <c r="F119" i="1"/>
  <c r="H119" i="1" s="1"/>
  <c r="A119" i="1"/>
  <c r="F118" i="1"/>
  <c r="H118" i="1" s="1"/>
  <c r="A118" i="1"/>
  <c r="F117" i="1"/>
  <c r="H117" i="1" s="1"/>
  <c r="A117" i="1"/>
  <c r="F116" i="1"/>
  <c r="H116" i="1" s="1"/>
  <c r="A116" i="1"/>
  <c r="F115" i="1"/>
  <c r="H115" i="1" s="1"/>
  <c r="A115" i="1"/>
  <c r="F114" i="1"/>
  <c r="H114" i="1" s="1"/>
  <c r="A114" i="1"/>
  <c r="F113" i="1"/>
  <c r="H113" i="1" s="1"/>
  <c r="A113" i="1"/>
  <c r="F112" i="1"/>
  <c r="H112" i="1" s="1"/>
  <c r="A112" i="1"/>
  <c r="F111" i="1"/>
  <c r="H111" i="1" s="1"/>
  <c r="A111" i="1"/>
  <c r="F110" i="1"/>
  <c r="H110" i="1" s="1"/>
  <c r="A110" i="1"/>
  <c r="F109" i="1"/>
  <c r="H109" i="1" s="1"/>
  <c r="A109" i="1"/>
  <c r="F108" i="1"/>
  <c r="H108" i="1" s="1"/>
  <c r="A108" i="1"/>
  <c r="F107" i="1"/>
  <c r="H107" i="1" s="1"/>
  <c r="A107" i="1"/>
  <c r="F106" i="1"/>
  <c r="H106" i="1" s="1"/>
  <c r="A106" i="1"/>
  <c r="F105" i="1"/>
  <c r="H105" i="1" s="1"/>
  <c r="A105" i="1"/>
  <c r="F104" i="1"/>
  <c r="H104" i="1" s="1"/>
  <c r="A104" i="1"/>
  <c r="F103" i="1"/>
  <c r="H103" i="1" s="1"/>
  <c r="A103" i="1"/>
  <c r="F102" i="1"/>
  <c r="H102" i="1" s="1"/>
  <c r="A102" i="1"/>
  <c r="F101" i="1"/>
  <c r="H101" i="1" s="1"/>
  <c r="A101" i="1"/>
  <c r="F100" i="1"/>
  <c r="H100" i="1" s="1"/>
  <c r="A100" i="1"/>
  <c r="F99" i="1"/>
  <c r="H99" i="1" s="1"/>
  <c r="A99" i="1"/>
  <c r="F98" i="1"/>
  <c r="H98" i="1" s="1"/>
  <c r="A98" i="1"/>
  <c r="F97" i="1"/>
  <c r="H97" i="1" s="1"/>
  <c r="A97" i="1"/>
  <c r="F96" i="1"/>
  <c r="H96" i="1" s="1"/>
  <c r="A96" i="1"/>
  <c r="F95" i="1"/>
  <c r="H95" i="1" s="1"/>
  <c r="A95" i="1"/>
  <c r="F94" i="1"/>
  <c r="H94" i="1" s="1"/>
  <c r="A94" i="1"/>
  <c r="F93" i="1"/>
  <c r="H93" i="1" s="1"/>
  <c r="A93" i="1"/>
  <c r="F92" i="1"/>
  <c r="H92" i="1" s="1"/>
  <c r="A92" i="1"/>
  <c r="F91" i="1"/>
  <c r="H91" i="1" s="1"/>
  <c r="A91" i="1"/>
  <c r="F90" i="1"/>
  <c r="H90" i="1" s="1"/>
  <c r="A90" i="1"/>
  <c r="F89" i="1"/>
  <c r="H89" i="1" s="1"/>
  <c r="A89" i="1"/>
  <c r="F88" i="1"/>
  <c r="H88" i="1" s="1"/>
  <c r="A88" i="1"/>
  <c r="F87" i="1"/>
  <c r="H87" i="1" s="1"/>
  <c r="A87" i="1"/>
  <c r="F86" i="1"/>
  <c r="H86" i="1" s="1"/>
  <c r="A86" i="1"/>
  <c r="F85" i="1"/>
  <c r="H85" i="1" s="1"/>
  <c r="A85" i="1"/>
  <c r="F84" i="1"/>
  <c r="H84" i="1" s="1"/>
  <c r="A84" i="1"/>
  <c r="F83" i="1"/>
  <c r="H83" i="1" s="1"/>
  <c r="A83" i="1"/>
  <c r="F82" i="1"/>
  <c r="H82" i="1" s="1"/>
  <c r="A82" i="1"/>
  <c r="F81" i="1"/>
  <c r="H81" i="1" s="1"/>
  <c r="A81" i="1"/>
  <c r="F80" i="1"/>
  <c r="H80" i="1" s="1"/>
  <c r="A80" i="1"/>
  <c r="F79" i="1"/>
  <c r="H79" i="1" s="1"/>
  <c r="A79" i="1"/>
  <c r="F78" i="1"/>
  <c r="H78" i="1" s="1"/>
  <c r="A78" i="1"/>
  <c r="F77" i="1"/>
  <c r="H77" i="1" s="1"/>
  <c r="A77" i="1"/>
  <c r="F76" i="1"/>
  <c r="H76" i="1" s="1"/>
  <c r="A76" i="1"/>
  <c r="F75" i="1"/>
  <c r="H75" i="1" s="1"/>
  <c r="A75" i="1"/>
  <c r="F74" i="1"/>
  <c r="H74" i="1" s="1"/>
  <c r="A74" i="1"/>
  <c r="F73" i="1"/>
  <c r="H73" i="1" s="1"/>
  <c r="A73" i="1"/>
  <c r="F72" i="1"/>
  <c r="H72" i="1" s="1"/>
  <c r="A72" i="1"/>
  <c r="F71" i="1"/>
  <c r="H71" i="1" s="1"/>
  <c r="A71" i="1"/>
  <c r="F70" i="1"/>
  <c r="H70" i="1" s="1"/>
  <c r="A70" i="1"/>
  <c r="F69" i="1"/>
  <c r="H69" i="1" s="1"/>
  <c r="A69" i="1"/>
  <c r="F68" i="1"/>
  <c r="H68" i="1" s="1"/>
  <c r="A68" i="1"/>
  <c r="F67" i="1"/>
  <c r="H67" i="1" s="1"/>
  <c r="A67" i="1"/>
  <c r="F66" i="1"/>
  <c r="H66" i="1" s="1"/>
  <c r="A66" i="1"/>
  <c r="F65" i="1"/>
  <c r="H65" i="1" s="1"/>
  <c r="A65" i="1"/>
  <c r="F64" i="1"/>
  <c r="H64" i="1" s="1"/>
  <c r="A64" i="1"/>
  <c r="F63" i="1"/>
  <c r="H63" i="1" s="1"/>
  <c r="A63" i="1"/>
  <c r="F62" i="1"/>
  <c r="H62" i="1" s="1"/>
  <c r="A62" i="1"/>
  <c r="F61" i="1"/>
  <c r="H61" i="1" s="1"/>
  <c r="A61" i="1"/>
  <c r="F60" i="1"/>
  <c r="H60" i="1" s="1"/>
  <c r="A60" i="1"/>
  <c r="F59" i="1"/>
  <c r="H59" i="1" s="1"/>
  <c r="A59" i="1"/>
  <c r="F58" i="1"/>
  <c r="H58" i="1" s="1"/>
  <c r="A58" i="1"/>
  <c r="F57" i="1"/>
  <c r="H57" i="1" s="1"/>
  <c r="A57" i="1"/>
  <c r="F56" i="1"/>
  <c r="H56" i="1" s="1"/>
  <c r="A56" i="1"/>
  <c r="F55" i="1"/>
  <c r="H55" i="1" s="1"/>
  <c r="A55" i="1"/>
  <c r="F54" i="1"/>
  <c r="H54" i="1" s="1"/>
  <c r="A54" i="1"/>
  <c r="F53" i="1"/>
  <c r="H53" i="1" s="1"/>
  <c r="A53" i="1"/>
  <c r="F52" i="1"/>
  <c r="H52" i="1" s="1"/>
  <c r="A52" i="1"/>
  <c r="F51" i="1"/>
  <c r="H51" i="1" s="1"/>
  <c r="A51" i="1"/>
  <c r="F50" i="1"/>
  <c r="H50" i="1" s="1"/>
  <c r="A50" i="1"/>
  <c r="F49" i="1"/>
  <c r="H49" i="1" s="1"/>
  <c r="A49" i="1"/>
  <c r="F48" i="1"/>
  <c r="H48" i="1" s="1"/>
  <c r="A48" i="1"/>
  <c r="F47" i="1"/>
  <c r="H47" i="1" s="1"/>
  <c r="A47" i="1"/>
  <c r="F46" i="1"/>
  <c r="H46" i="1" s="1"/>
  <c r="A46" i="1"/>
  <c r="F45" i="1"/>
  <c r="H45" i="1" s="1"/>
  <c r="A45" i="1"/>
  <c r="F44" i="1"/>
  <c r="H44" i="1" s="1"/>
  <c r="A44" i="1"/>
  <c r="F43" i="1"/>
  <c r="H43" i="1" s="1"/>
  <c r="A43" i="1"/>
  <c r="F42" i="1"/>
  <c r="H42" i="1" s="1"/>
  <c r="A42" i="1"/>
  <c r="F41" i="1"/>
  <c r="H41" i="1" s="1"/>
  <c r="A41" i="1"/>
  <c r="F40" i="1"/>
  <c r="H40" i="1" s="1"/>
  <c r="A40" i="1"/>
  <c r="F39" i="1"/>
  <c r="H39" i="1" s="1"/>
  <c r="A39" i="1"/>
  <c r="F38" i="1"/>
  <c r="H38" i="1" s="1"/>
  <c r="A38" i="1"/>
  <c r="F37" i="1"/>
  <c r="H37" i="1" s="1"/>
  <c r="A37" i="1"/>
  <c r="F36" i="1"/>
  <c r="H36" i="1" s="1"/>
  <c r="A36" i="1"/>
  <c r="F35" i="1"/>
  <c r="H35" i="1" s="1"/>
  <c r="A35" i="1"/>
  <c r="F34" i="1"/>
  <c r="H34" i="1" s="1"/>
  <c r="A34" i="1"/>
  <c r="F33" i="1"/>
  <c r="H33" i="1" s="1"/>
  <c r="A33" i="1"/>
  <c r="F32" i="1"/>
  <c r="H32" i="1" s="1"/>
  <c r="A32" i="1"/>
  <c r="F31" i="1"/>
  <c r="H31" i="1" s="1"/>
  <c r="A31" i="1"/>
  <c r="F30" i="1"/>
  <c r="H30" i="1" s="1"/>
  <c r="A30" i="1"/>
  <c r="F29" i="1"/>
  <c r="H29" i="1" s="1"/>
  <c r="A29" i="1"/>
  <c r="F28" i="1"/>
  <c r="H28" i="1" s="1"/>
  <c r="A28" i="1"/>
  <c r="F27" i="1"/>
  <c r="H27" i="1" s="1"/>
  <c r="A27" i="1"/>
  <c r="F26" i="1"/>
  <c r="H26" i="1" s="1"/>
  <c r="A26" i="1"/>
  <c r="F25" i="1"/>
  <c r="H25" i="1" s="1"/>
  <c r="A25" i="1"/>
  <c r="F24" i="1"/>
  <c r="H24" i="1" s="1"/>
  <c r="A24" i="1"/>
  <c r="F23" i="1"/>
  <c r="H23" i="1" s="1"/>
  <c r="A23" i="1"/>
  <c r="F22" i="1"/>
  <c r="H22" i="1" s="1"/>
  <c r="A22" i="1"/>
  <c r="F21" i="1"/>
  <c r="H21" i="1" s="1"/>
  <c r="A21" i="1"/>
  <c r="F20" i="1"/>
  <c r="H20" i="1" s="1"/>
  <c r="A20" i="1"/>
  <c r="F19" i="1"/>
  <c r="H19" i="1" s="1"/>
  <c r="A19" i="1"/>
  <c r="F18" i="1"/>
  <c r="H18" i="1" s="1"/>
  <c r="A18" i="1"/>
  <c r="F17" i="1"/>
  <c r="H17" i="1" s="1"/>
  <c r="A17" i="1"/>
  <c r="F16" i="1"/>
  <c r="H16" i="1" s="1"/>
  <c r="A16" i="1"/>
  <c r="F15" i="1"/>
  <c r="H15" i="1" s="1"/>
  <c r="A15" i="1"/>
  <c r="F14" i="1"/>
  <c r="H14" i="1" s="1"/>
  <c r="A14" i="1"/>
  <c r="F13" i="1"/>
  <c r="H13" i="1" s="1"/>
  <c r="A13" i="1"/>
  <c r="F12" i="1"/>
  <c r="H12" i="1" s="1"/>
  <c r="A12" i="1"/>
  <c r="F11" i="1"/>
  <c r="H11" i="1" s="1"/>
  <c r="A11" i="1"/>
  <c r="F10" i="1"/>
  <c r="H10" i="1" s="1"/>
  <c r="A10" i="1"/>
  <c r="F9" i="1"/>
  <c r="H9" i="1" s="1"/>
  <c r="A9" i="1"/>
  <c r="F8" i="1"/>
  <c r="H8" i="1" s="1"/>
  <c r="A8" i="1"/>
  <c r="F7" i="1"/>
  <c r="H7" i="1" s="1"/>
  <c r="A7" i="1"/>
  <c r="F6" i="1"/>
  <c r="H6" i="1" s="1"/>
  <c r="A6" i="1"/>
  <c r="F5" i="1"/>
  <c r="H5" i="1" s="1"/>
  <c r="A5" i="1"/>
  <c r="F4" i="1"/>
  <c r="H4" i="1" s="1"/>
  <c r="A4" i="1"/>
  <c r="F3" i="1"/>
  <c r="H3" i="1" s="1"/>
  <c r="A3" i="1"/>
  <c r="F2" i="1"/>
  <c r="H2" i="1" s="1"/>
  <c r="A2" i="1"/>
  <c r="I212" i="1" l="1"/>
  <c r="J212" i="1"/>
  <c r="I211" i="1"/>
  <c r="J211" i="1"/>
  <c r="I210" i="1"/>
  <c r="J210" i="1"/>
  <c r="I209" i="1"/>
  <c r="J209" i="1"/>
  <c r="I208" i="1"/>
  <c r="J208" i="1"/>
  <c r="I207" i="1"/>
  <c r="J207" i="1"/>
  <c r="I206" i="1"/>
  <c r="J206" i="1"/>
  <c r="I205" i="1"/>
  <c r="J205" i="1"/>
  <c r="I204" i="1"/>
  <c r="J204" i="1"/>
  <c r="I203" i="1"/>
  <c r="J203" i="1"/>
  <c r="I202" i="1"/>
  <c r="J202" i="1"/>
  <c r="I201" i="1"/>
  <c r="J201" i="1"/>
  <c r="I200" i="1"/>
  <c r="J200" i="1"/>
  <c r="I199" i="1"/>
  <c r="J199" i="1"/>
  <c r="I198" i="1"/>
  <c r="J198" i="1"/>
  <c r="I197" i="1"/>
  <c r="J197" i="1"/>
  <c r="I196" i="1"/>
  <c r="J196" i="1"/>
  <c r="I195" i="1"/>
  <c r="J195" i="1"/>
  <c r="I194" i="1"/>
  <c r="J194" i="1"/>
  <c r="I193" i="1"/>
  <c r="J193" i="1"/>
  <c r="I192" i="1"/>
  <c r="J192" i="1"/>
  <c r="I191" i="1"/>
  <c r="J191" i="1"/>
  <c r="I190" i="1"/>
  <c r="J190" i="1"/>
  <c r="I189" i="1"/>
  <c r="J189" i="1"/>
  <c r="I188" i="1"/>
  <c r="J188" i="1"/>
  <c r="I187" i="1"/>
  <c r="J187" i="1"/>
  <c r="I186" i="1"/>
  <c r="J186" i="1"/>
  <c r="I185" i="1"/>
  <c r="J185" i="1"/>
  <c r="I184" i="1"/>
  <c r="J184" i="1"/>
  <c r="I183" i="1"/>
  <c r="J183" i="1"/>
  <c r="I182" i="1"/>
  <c r="J182" i="1"/>
  <c r="I181" i="1"/>
  <c r="J181" i="1"/>
  <c r="I180" i="1"/>
  <c r="J180" i="1"/>
  <c r="J179" i="1"/>
  <c r="I179" i="1"/>
  <c r="I178" i="1"/>
  <c r="J178" i="1"/>
  <c r="I177" i="1"/>
  <c r="J177" i="1"/>
  <c r="I176" i="1"/>
  <c r="J176" i="1"/>
  <c r="I175" i="1"/>
  <c r="J175" i="1"/>
  <c r="I174" i="1"/>
  <c r="J174" i="1"/>
  <c r="I173" i="1"/>
  <c r="J173" i="1"/>
  <c r="I172" i="1"/>
  <c r="J172" i="1"/>
  <c r="I171" i="1"/>
  <c r="J171" i="1"/>
  <c r="I170" i="1"/>
  <c r="J170" i="1"/>
  <c r="I169" i="1"/>
  <c r="J169" i="1"/>
  <c r="I168" i="1"/>
  <c r="J168" i="1"/>
  <c r="I167" i="1"/>
  <c r="J167" i="1"/>
  <c r="I166" i="1"/>
  <c r="J166" i="1"/>
  <c r="I165" i="1"/>
  <c r="J165" i="1"/>
  <c r="I164" i="1"/>
  <c r="J164" i="1"/>
  <c r="I163" i="1"/>
  <c r="J163" i="1"/>
  <c r="I162" i="1"/>
  <c r="J162" i="1"/>
  <c r="I161" i="1"/>
  <c r="J161" i="1"/>
  <c r="I160" i="1"/>
  <c r="J160" i="1"/>
  <c r="I159" i="1"/>
  <c r="J159" i="1"/>
  <c r="I158" i="1"/>
  <c r="J158" i="1"/>
  <c r="I157" i="1"/>
  <c r="J157" i="1"/>
  <c r="I156" i="1"/>
  <c r="J156" i="1"/>
  <c r="I155" i="1"/>
  <c r="J155" i="1"/>
  <c r="I154" i="1"/>
  <c r="J154" i="1"/>
  <c r="I153" i="1"/>
  <c r="J153" i="1"/>
  <c r="I152" i="1"/>
  <c r="J152" i="1"/>
  <c r="I151" i="1"/>
  <c r="J151" i="1"/>
  <c r="I150" i="1"/>
  <c r="J150" i="1"/>
  <c r="I149" i="1"/>
  <c r="J149" i="1"/>
  <c r="I148" i="1"/>
  <c r="J148" i="1"/>
  <c r="I147" i="1"/>
  <c r="J147" i="1"/>
  <c r="I146" i="1"/>
  <c r="J146" i="1"/>
  <c r="I145" i="1"/>
  <c r="J145" i="1"/>
  <c r="I144" i="1"/>
  <c r="J144" i="1"/>
  <c r="I143" i="1"/>
  <c r="J143" i="1"/>
  <c r="I142" i="1"/>
  <c r="J142" i="1"/>
  <c r="I141" i="1"/>
  <c r="J141" i="1"/>
  <c r="I140" i="1"/>
  <c r="J140" i="1"/>
  <c r="I139" i="1"/>
  <c r="J139" i="1"/>
  <c r="I138" i="1"/>
  <c r="J138" i="1"/>
  <c r="I137" i="1"/>
  <c r="J137" i="1"/>
  <c r="I136" i="1"/>
  <c r="J136" i="1"/>
  <c r="I135" i="1"/>
  <c r="J135" i="1"/>
  <c r="I134" i="1"/>
  <c r="J134" i="1"/>
  <c r="I133" i="1"/>
  <c r="J133" i="1"/>
  <c r="I132" i="1"/>
  <c r="J132" i="1"/>
  <c r="I131" i="1"/>
  <c r="J131" i="1"/>
  <c r="I130" i="1"/>
  <c r="J130" i="1"/>
  <c r="I129" i="1"/>
  <c r="J129" i="1"/>
  <c r="I128" i="1"/>
  <c r="J128" i="1"/>
  <c r="I127" i="1"/>
  <c r="J127" i="1"/>
  <c r="I126" i="1"/>
  <c r="J126" i="1"/>
  <c r="I125" i="1"/>
  <c r="J125" i="1"/>
  <c r="I124" i="1"/>
  <c r="J124" i="1"/>
  <c r="I123" i="1"/>
  <c r="J123" i="1"/>
  <c r="I122" i="1"/>
  <c r="J122" i="1"/>
  <c r="I121" i="1"/>
  <c r="J121" i="1"/>
  <c r="I120" i="1"/>
  <c r="J120" i="1"/>
  <c r="I119" i="1"/>
  <c r="J119" i="1"/>
  <c r="I118" i="1"/>
  <c r="J118" i="1"/>
  <c r="I117" i="1"/>
  <c r="J117" i="1"/>
  <c r="I116" i="1"/>
  <c r="J116" i="1"/>
  <c r="I115" i="1"/>
  <c r="J115" i="1"/>
  <c r="I114" i="1"/>
  <c r="J114" i="1"/>
  <c r="I113" i="1"/>
  <c r="J113" i="1"/>
  <c r="I112" i="1"/>
  <c r="J112" i="1"/>
  <c r="I111" i="1"/>
  <c r="J111" i="1"/>
  <c r="I110" i="1"/>
  <c r="J110" i="1"/>
  <c r="I109" i="1"/>
  <c r="J109" i="1"/>
  <c r="I108" i="1"/>
  <c r="J108" i="1"/>
  <c r="I107" i="1"/>
  <c r="J107" i="1"/>
  <c r="I106" i="1"/>
  <c r="J106" i="1"/>
  <c r="I105" i="1"/>
  <c r="J105" i="1"/>
  <c r="I104" i="1"/>
  <c r="J104" i="1"/>
  <c r="I103" i="1"/>
  <c r="J103" i="1"/>
  <c r="I102" i="1"/>
  <c r="J102" i="1"/>
  <c r="I101" i="1"/>
  <c r="J101" i="1"/>
  <c r="I100" i="1"/>
  <c r="J100" i="1"/>
  <c r="I99" i="1"/>
  <c r="J99" i="1"/>
  <c r="I98" i="1"/>
  <c r="J98" i="1"/>
  <c r="I97" i="1"/>
  <c r="J97" i="1"/>
  <c r="I96" i="1"/>
  <c r="J96" i="1"/>
  <c r="I95" i="1"/>
  <c r="J95" i="1"/>
  <c r="I94" i="1"/>
  <c r="J94" i="1"/>
  <c r="I93" i="1"/>
  <c r="J93" i="1"/>
  <c r="I92" i="1"/>
  <c r="J92" i="1"/>
  <c r="I91" i="1"/>
  <c r="J91" i="1"/>
  <c r="I90" i="1"/>
  <c r="J90" i="1"/>
  <c r="I89" i="1"/>
  <c r="J89" i="1"/>
  <c r="I88" i="1"/>
  <c r="J88" i="1"/>
  <c r="I87" i="1"/>
  <c r="J87" i="1"/>
  <c r="I86" i="1"/>
  <c r="J86" i="1"/>
  <c r="I85" i="1"/>
  <c r="J85" i="1"/>
  <c r="I84" i="1"/>
  <c r="J84" i="1"/>
  <c r="I83" i="1"/>
  <c r="J83" i="1"/>
  <c r="I82" i="1"/>
  <c r="J82" i="1"/>
  <c r="I81" i="1"/>
  <c r="J81" i="1"/>
  <c r="I80" i="1"/>
  <c r="J80" i="1"/>
  <c r="I79" i="1"/>
  <c r="J79" i="1"/>
  <c r="I78" i="1"/>
  <c r="J78" i="1"/>
  <c r="F7" i="2"/>
  <c r="I77" i="1"/>
  <c r="J77" i="1"/>
  <c r="I76" i="1"/>
  <c r="J76" i="1"/>
  <c r="I75" i="1"/>
  <c r="J75" i="1"/>
  <c r="I74" i="1"/>
  <c r="J74" i="1"/>
  <c r="I73" i="1"/>
  <c r="J73" i="1"/>
  <c r="I72" i="1"/>
  <c r="J72" i="1"/>
  <c r="I71" i="1"/>
  <c r="J71" i="1"/>
  <c r="I70" i="1"/>
  <c r="J70" i="1"/>
  <c r="I69" i="1"/>
  <c r="J69" i="1"/>
  <c r="I68" i="1"/>
  <c r="J68" i="1"/>
  <c r="I67" i="1"/>
  <c r="J67" i="1"/>
  <c r="I66" i="1"/>
  <c r="J66" i="1"/>
  <c r="I65" i="1"/>
  <c r="J65" i="1"/>
  <c r="I64" i="1"/>
  <c r="J64" i="1"/>
  <c r="I63" i="1"/>
  <c r="J63" i="1"/>
  <c r="I62" i="1"/>
  <c r="J62" i="1"/>
  <c r="I61" i="1"/>
  <c r="J61" i="1"/>
  <c r="I60" i="1"/>
  <c r="J60" i="1"/>
  <c r="I59" i="1"/>
  <c r="J59" i="1"/>
  <c r="I58" i="1"/>
  <c r="J58" i="1"/>
  <c r="I57" i="1"/>
  <c r="J57" i="1"/>
  <c r="I56" i="1"/>
  <c r="J56" i="1"/>
  <c r="I55" i="1"/>
  <c r="J55" i="1"/>
  <c r="I54" i="1"/>
  <c r="J54" i="1"/>
  <c r="I53" i="1"/>
  <c r="J53" i="1"/>
  <c r="I52" i="1"/>
  <c r="J52" i="1"/>
  <c r="I51" i="1"/>
  <c r="J51" i="1"/>
  <c r="I50" i="1"/>
  <c r="J50" i="1"/>
  <c r="I49" i="1"/>
  <c r="J49" i="1"/>
  <c r="I48" i="1"/>
  <c r="J48" i="1"/>
  <c r="I47" i="1"/>
  <c r="J47" i="1"/>
  <c r="I46" i="1"/>
  <c r="J46" i="1"/>
  <c r="I45" i="1"/>
  <c r="J45" i="1"/>
  <c r="J44" i="1"/>
  <c r="I44" i="1"/>
  <c r="I43" i="1"/>
  <c r="J43" i="1"/>
  <c r="I42" i="1"/>
  <c r="J42" i="1"/>
  <c r="I41" i="1"/>
  <c r="J41" i="1"/>
  <c r="I40" i="1"/>
  <c r="J40" i="1"/>
  <c r="I39" i="1"/>
  <c r="J39" i="1"/>
  <c r="I38" i="1"/>
  <c r="J38" i="1"/>
  <c r="I37" i="1"/>
  <c r="J37" i="1"/>
  <c r="I36" i="1"/>
  <c r="J36" i="1"/>
  <c r="I35" i="1"/>
  <c r="J35" i="1"/>
  <c r="I34" i="1"/>
  <c r="J34" i="1"/>
  <c r="I33" i="1"/>
  <c r="J33" i="1"/>
  <c r="I32" i="1"/>
  <c r="J32" i="1"/>
  <c r="I31" i="1"/>
  <c r="J31" i="1"/>
  <c r="I30" i="1"/>
  <c r="J30" i="1"/>
  <c r="I29" i="1"/>
  <c r="J29" i="1"/>
  <c r="I28" i="1"/>
  <c r="J28" i="1"/>
  <c r="I27" i="1"/>
  <c r="J27" i="1"/>
  <c r="I26" i="1"/>
  <c r="J26" i="1"/>
  <c r="I25" i="1"/>
  <c r="J25" i="1"/>
  <c r="I24" i="1"/>
  <c r="J24" i="1"/>
  <c r="I23" i="1"/>
  <c r="J23" i="1"/>
  <c r="I22" i="1"/>
  <c r="J22" i="1"/>
  <c r="I21" i="1"/>
  <c r="J21" i="1"/>
  <c r="I20" i="1"/>
  <c r="J20" i="1"/>
  <c r="I19" i="1"/>
  <c r="J19" i="1"/>
  <c r="I18" i="1"/>
  <c r="J18" i="1"/>
  <c r="F4" i="2"/>
  <c r="I17" i="1"/>
  <c r="J17" i="1"/>
  <c r="I16" i="1"/>
  <c r="J16" i="1"/>
  <c r="F6" i="2"/>
  <c r="I15" i="1"/>
  <c r="J15" i="1"/>
  <c r="I14" i="1"/>
  <c r="J14" i="1"/>
  <c r="I13" i="1"/>
  <c r="J13" i="1"/>
  <c r="I12" i="1"/>
  <c r="J12" i="1"/>
  <c r="I11" i="1"/>
  <c r="J11" i="1"/>
  <c r="I10" i="1"/>
  <c r="J10" i="1"/>
  <c r="F5" i="2"/>
  <c r="I9" i="1"/>
  <c r="J9" i="1"/>
  <c r="I8" i="1"/>
  <c r="J8" i="1"/>
  <c r="I7" i="1"/>
  <c r="J7" i="1"/>
  <c r="I6" i="1"/>
  <c r="J6" i="1"/>
  <c r="I5" i="1"/>
  <c r="J5" i="1"/>
  <c r="I4" i="1"/>
  <c r="J4" i="1"/>
  <c r="F3" i="2"/>
  <c r="I3" i="1"/>
  <c r="J3" i="1"/>
  <c r="I2" i="1"/>
  <c r="J2" i="1"/>
  <c r="F2" i="2"/>
  <c r="F8" i="2"/>
</calcChain>
</file>

<file path=xl/sharedStrings.xml><?xml version="1.0" encoding="utf-8"?>
<sst xmlns="http://schemas.openxmlformats.org/spreadsheetml/2006/main" count="491" uniqueCount="266">
  <si>
    <t>Rank</t>
  </si>
  <si>
    <t>Nation</t>
  </si>
  <si>
    <t>Confederation</t>
  </si>
  <si>
    <t>Population (m)</t>
  </si>
  <si>
    <t>Reputation (std)</t>
  </si>
  <si>
    <t>Var base (population)</t>
  </si>
  <si>
    <t>Var modifier</t>
  </si>
  <si>
    <t>Reputation (var)</t>
  </si>
  <si>
    <t>Range low</t>
  </si>
  <si>
    <t>Range high</t>
  </si>
  <si>
    <t>Modifier reason</t>
  </si>
  <si>
    <t>France</t>
  </si>
  <si>
    <t>UEFA</t>
  </si>
  <si>
    <t>Spain</t>
  </si>
  <si>
    <t>Argentina</t>
  </si>
  <si>
    <t>CONMEBOL</t>
  </si>
  <si>
    <t>England</t>
  </si>
  <si>
    <t>Brazil</t>
  </si>
  <si>
    <t>Portugal</t>
  </si>
  <si>
    <t>Germany</t>
  </si>
  <si>
    <t>Netherlands</t>
  </si>
  <si>
    <t>Morocco</t>
  </si>
  <si>
    <t>CAF</t>
  </si>
  <si>
    <t>Diaspora-dependent squad</t>
  </si>
  <si>
    <t>Belgium</t>
  </si>
  <si>
    <t>Italy</t>
  </si>
  <si>
    <t>Colombia</t>
  </si>
  <si>
    <t>Uruguay</t>
  </si>
  <si>
    <t>Croatia</t>
  </si>
  <si>
    <t>Japan</t>
  </si>
  <si>
    <t>AFC</t>
  </si>
  <si>
    <t>Senegal</t>
  </si>
  <si>
    <t>Mexico</t>
  </si>
  <si>
    <t>CONCACAF</t>
  </si>
  <si>
    <t>Norway</t>
  </si>
  <si>
    <t>Switzerland</t>
  </si>
  <si>
    <t>United States</t>
  </si>
  <si>
    <t>Emerging / investment-driven programme</t>
  </si>
  <si>
    <t>Ecuador</t>
  </si>
  <si>
    <t>Denmark</t>
  </si>
  <si>
    <t>Türkiye</t>
  </si>
  <si>
    <t>Ivory Coast</t>
  </si>
  <si>
    <t>Nigeria</t>
  </si>
  <si>
    <t>Austria</t>
  </si>
  <si>
    <t>South Korea</t>
  </si>
  <si>
    <t>Algeria</t>
  </si>
  <si>
    <t>Egypt</t>
  </si>
  <si>
    <t>Canada</t>
  </si>
  <si>
    <t>Paraguay</t>
  </si>
  <si>
    <t>Sweden</t>
  </si>
  <si>
    <t>Ukraine</t>
  </si>
  <si>
    <t>Iran</t>
  </si>
  <si>
    <t>Poland</t>
  </si>
  <si>
    <t>Serbia</t>
  </si>
  <si>
    <t>Australia</t>
  </si>
  <si>
    <t>Cameroon</t>
  </si>
  <si>
    <t>DR Congo</t>
  </si>
  <si>
    <t>Ghana</t>
  </si>
  <si>
    <t>Mali</t>
  </si>
  <si>
    <t>Czechia</t>
  </si>
  <si>
    <t>Greece</t>
  </si>
  <si>
    <t>Hungary</t>
  </si>
  <si>
    <t>Scotland</t>
  </si>
  <si>
    <t>Tunisia</t>
  </si>
  <si>
    <t>Georgia</t>
  </si>
  <si>
    <t>Russia</t>
  </si>
  <si>
    <t>South Africa</t>
  </si>
  <si>
    <t>Panama</t>
  </si>
  <si>
    <t>Venezuela</t>
  </si>
  <si>
    <t>Republic of Ireland</t>
  </si>
  <si>
    <t>Romania</t>
  </si>
  <si>
    <t>Slovakia</t>
  </si>
  <si>
    <t>Slovenia</t>
  </si>
  <si>
    <t>Wales</t>
  </si>
  <si>
    <t>Saudi Arabia</t>
  </si>
  <si>
    <t>Uzbekistan</t>
  </si>
  <si>
    <t>Burkina Faso</t>
  </si>
  <si>
    <t>Cape Verde</t>
  </si>
  <si>
    <t>Chile</t>
  </si>
  <si>
    <t>Peru</t>
  </si>
  <si>
    <t>Albania</t>
  </si>
  <si>
    <t>Iraq</t>
  </si>
  <si>
    <t>Jordan</t>
  </si>
  <si>
    <t>Qatar</t>
  </si>
  <si>
    <t>Costa Rica</t>
  </si>
  <si>
    <t>Bosnia and Herzegovina</t>
  </si>
  <si>
    <t>Guinea</t>
  </si>
  <si>
    <t>Iceland</t>
  </si>
  <si>
    <t>Israel</t>
  </si>
  <si>
    <t>Kosovo</t>
  </si>
  <si>
    <t>Northern Ireland</t>
  </si>
  <si>
    <t>United Arab Emirates</t>
  </si>
  <si>
    <t>Gabon</t>
  </si>
  <si>
    <t>Jamaica</t>
  </si>
  <si>
    <t>New Zealand</t>
  </si>
  <si>
    <t>OFC</t>
  </si>
  <si>
    <t>Finland</t>
  </si>
  <si>
    <t>Angola</t>
  </si>
  <si>
    <t>Honduras</t>
  </si>
  <si>
    <t>Montenegro</t>
  </si>
  <si>
    <t>North Macedonia</t>
  </si>
  <si>
    <t>Benin</t>
  </si>
  <si>
    <t>Zambia</t>
  </si>
  <si>
    <t>Bulgaria</t>
  </si>
  <si>
    <t>Oman</t>
  </si>
  <si>
    <t>Equatorial Guinea</t>
  </si>
  <si>
    <t>Uganda</t>
  </si>
  <si>
    <t>Curaçao</t>
  </si>
  <si>
    <t>Haiti</t>
  </si>
  <si>
    <t>Bolivia</t>
  </si>
  <si>
    <t>China</t>
  </si>
  <si>
    <t>Libya</t>
  </si>
  <si>
    <t>Mauritania</t>
  </si>
  <si>
    <t>Guatemala</t>
  </si>
  <si>
    <t>Belarus</t>
  </si>
  <si>
    <t>Kazakhstan</t>
  </si>
  <si>
    <t>Bahrain</t>
  </si>
  <si>
    <t>Indonesia</t>
  </si>
  <si>
    <t>Naturalisation-driven squad</t>
  </si>
  <si>
    <t>Syria</t>
  </si>
  <si>
    <t>Gambia</t>
  </si>
  <si>
    <t>Kenya</t>
  </si>
  <si>
    <t>Madagascar</t>
  </si>
  <si>
    <t>Mozambique</t>
  </si>
  <si>
    <t>El Salvador</t>
  </si>
  <si>
    <t>Armenia</t>
  </si>
  <si>
    <t>Luxembourg</t>
  </si>
  <si>
    <t>Palestine</t>
  </si>
  <si>
    <t>Thailand</t>
  </si>
  <si>
    <t>Vietnam</t>
  </si>
  <si>
    <t>Comoros</t>
  </si>
  <si>
    <t>Congo</t>
  </si>
  <si>
    <t>Togo</t>
  </si>
  <si>
    <t>Suriname</t>
  </si>
  <si>
    <t>Trinidad and Tobago</t>
  </si>
  <si>
    <t>Azerbaijan</t>
  </si>
  <si>
    <t>Kyrgyzstan</t>
  </si>
  <si>
    <t>North Korea</t>
  </si>
  <si>
    <t>Tajikistan</t>
  </si>
  <si>
    <t>Guinea-Bissau</t>
  </si>
  <si>
    <t>Namibia</t>
  </si>
  <si>
    <t>Sierra Leone</t>
  </si>
  <si>
    <t>Sudan</t>
  </si>
  <si>
    <t>Tanzania</t>
  </si>
  <si>
    <t>Zimbabwe</t>
  </si>
  <si>
    <t>Cyprus</t>
  </si>
  <si>
    <t>Lebanon</t>
  </si>
  <si>
    <t>Malaysia</t>
  </si>
  <si>
    <t>Niger</t>
  </si>
  <si>
    <t>Rwanda</t>
  </si>
  <si>
    <t>Nicaragua</t>
  </si>
  <si>
    <t>Kuwait</t>
  </si>
  <si>
    <t>Burundi</t>
  </si>
  <si>
    <t>Malawi</t>
  </si>
  <si>
    <t>Dominican Republic</t>
  </si>
  <si>
    <t>Estonia</t>
  </si>
  <si>
    <t>India</t>
  </si>
  <si>
    <t>Botswana</t>
  </si>
  <si>
    <t>Central African Republic</t>
  </si>
  <si>
    <t>Liberia</t>
  </si>
  <si>
    <t>Faroe Islands</t>
  </si>
  <si>
    <t>Latvia</t>
  </si>
  <si>
    <t>Lithuania</t>
  </si>
  <si>
    <t>Moldova</t>
  </si>
  <si>
    <t>Philippines</t>
  </si>
  <si>
    <t>Turkmenistan</t>
  </si>
  <si>
    <t>Ethiopia</t>
  </si>
  <si>
    <t>Cuba</t>
  </si>
  <si>
    <t>Hong Kong</t>
  </si>
  <si>
    <t>Lesotho</t>
  </si>
  <si>
    <t>Malta</t>
  </si>
  <si>
    <t>Yemen</t>
  </si>
  <si>
    <t>Myanmar</t>
  </si>
  <si>
    <t>Eswatini</t>
  </si>
  <si>
    <t>Guyana</t>
  </si>
  <si>
    <t>New Caledonia</t>
  </si>
  <si>
    <t>Afghanistan</t>
  </si>
  <si>
    <t>Singapore</t>
  </si>
  <si>
    <t>South Sudan</t>
  </si>
  <si>
    <t>Puerto Rico</t>
  </si>
  <si>
    <t>Bermuda</t>
  </si>
  <si>
    <t>Saint Kitts and Nevis</t>
  </si>
  <si>
    <t>Fiji</t>
  </si>
  <si>
    <t>Solomon Islands</t>
  </si>
  <si>
    <t>Grenada</t>
  </si>
  <si>
    <t>Cambodia</t>
  </si>
  <si>
    <t>Chinese Taipei</t>
  </si>
  <si>
    <t>Antigua and Barbuda</t>
  </si>
  <si>
    <t>Saint Vincent and the Grenadines</t>
  </si>
  <si>
    <t>Andorra</t>
  </si>
  <si>
    <t>Bangladesh</t>
  </si>
  <si>
    <t>Maldives</t>
  </si>
  <si>
    <t>Chad</t>
  </si>
  <si>
    <t>Mauritius</t>
  </si>
  <si>
    <t>Belize</t>
  </si>
  <si>
    <t>Saint Lucia</t>
  </si>
  <si>
    <t>Tahiti</t>
  </si>
  <si>
    <t>Vanuatu</t>
  </si>
  <si>
    <t>Mongolia</t>
  </si>
  <si>
    <t>Nepal</t>
  </si>
  <si>
    <t>Papua New Guinea</t>
  </si>
  <si>
    <t>São Tomé and Príncipe</t>
  </si>
  <si>
    <t>Barbados</t>
  </si>
  <si>
    <t>Gibraltar</t>
  </si>
  <si>
    <t>Dominica</t>
  </si>
  <si>
    <t>Liechtenstein</t>
  </si>
  <si>
    <t>Laos</t>
  </si>
  <si>
    <t>Aruba</t>
  </si>
  <si>
    <t>Montserrat</t>
  </si>
  <si>
    <t>Bhutan</t>
  </si>
  <si>
    <t>Pakistan</t>
  </si>
  <si>
    <t>Sri Lanka</t>
  </si>
  <si>
    <t>Brunei</t>
  </si>
  <si>
    <t>Djibouti</t>
  </si>
  <si>
    <t>Seychelles</t>
  </si>
  <si>
    <t>Cayman Islands</t>
  </si>
  <si>
    <t>San Marino</t>
  </si>
  <si>
    <t>Guam</t>
  </si>
  <si>
    <t>Timor-Leste</t>
  </si>
  <si>
    <t>Somalia</t>
  </si>
  <si>
    <t>Macau</t>
  </si>
  <si>
    <t>Eritrea</t>
  </si>
  <si>
    <t>Bahamas</t>
  </si>
  <si>
    <t>Samoa</t>
  </si>
  <si>
    <t>Turks and Caicos Islands</t>
  </si>
  <si>
    <t>Cook Islands</t>
  </si>
  <si>
    <t>British Virgin Islands</t>
  </si>
  <si>
    <t>US Virgin Islands</t>
  </si>
  <si>
    <t>American Samoa</t>
  </si>
  <si>
    <t>Tonga</t>
  </si>
  <si>
    <t>Anguilla</t>
  </si>
  <si>
    <t>Members</t>
  </si>
  <si>
    <t>Best (std)</t>
  </si>
  <si>
    <t>Average (std)</t>
  </si>
  <si>
    <t>Weakest (std)</t>
  </si>
  <si>
    <t>Average var</t>
  </si>
  <si>
    <t>Total</t>
  </si>
  <si>
    <t>Settings</t>
  </si>
  <si>
    <t>Reputation cap (best national team)</t>
  </si>
  <si>
    <t>User spec: best clubs 90, best national teams 85. Range high never exceeds this.</t>
  </si>
  <si>
    <t>Max sway (var)</t>
  </si>
  <si>
    <t>User spec: sway is never more than 5.</t>
  </si>
  <si>
    <t>Population band</t>
  </si>
  <si>
    <t>Upper limit (m)</t>
  </si>
  <si>
    <t>Base var</t>
  </si>
  <si>
    <t>Under 5 million</t>
  </si>
  <si>
    <t>Smaller talent pools swing harder: one golden generation (Croatia, Uruguay, Iceland) moves the whole team.</t>
  </si>
  <si>
    <t>5 to 15 million</t>
  </si>
  <si>
    <t>15 to 40 million</t>
  </si>
  <si>
    <t>40 million and above</t>
  </si>
  <si>
    <t>—</t>
  </si>
  <si>
    <t>Large pools average out: Germany or Brazil always has depth, so they move least.</t>
  </si>
  <si>
    <t>Columns</t>
  </si>
  <si>
    <t>Baseline level at game start (2026). Anchored on the FIFA men's ranking of 20 July 2026 (after the 2026 World Cup), adjusted for squad talent. Edit freely (blue).</t>
  </si>
  <si>
    <t>Var base</t>
  </si>
  <si>
    <t>Formula: set by population band above.</t>
  </si>
  <si>
    <t>Manual +1 for nations whose talent supply is unusually volatile: diaspora-dependent squads, naturalisation, or investment-driven programmes. Reason in column K. Edit freely (blue).</t>
  </si>
  <si>
    <t>Formula: base + modifier, clamped between 1 and the max sway (5). The maximum a nation can move away from its std, up or down, over a ~20-year period.</t>
  </si>
  <si>
    <t>Range low / high</t>
  </si>
  <si>
    <t>Formula: std − var and std + var, with high capped at the reputation cap.</t>
  </si>
  <si>
    <t>Scope</t>
  </si>
  <si>
    <t>All 211 FIFA member associations. Russia is included as a FIFA member but is currently suspended from UEFA and FIFA competitions. The four UK nations are listed separately with their own populations.</t>
  </si>
  <si>
    <t>Populations</t>
  </si>
  <si>
    <t>Approximate 2025 figures in millions, rounded. Only the band matters for the formula, so small inaccuracies don't change the result.</t>
  </si>
  <si>
    <t>Suggested engine use</t>
  </si>
  <si>
    <t>Each nation's current rep drifts inside [low, high] around its std, e.g. a slow wave over ~20 years with a random phase per nation, plus small yearly noise. Golden generations are the crests of that wave; nations with a high var have bigger crests and troughs.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</si>
</sst>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i/>
      <sz val="10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CE6F5"/>
        <bgColor rgb="FFDDEB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0"/>
      </patternFill>
    </fill>
    <fill>
      <patternFill patternType="solid">
        <fgColor rgb="FFEDE2F6"/>
        <bgColor rgb="FFDCE6F5"/>
      </patternFill>
    </fill>
    <fill>
      <patternFill patternType="solid">
        <fgColor rgb="FFFCE4D6"/>
        <bgColor rgb="FFFFF2CC"/>
      </patternFill>
    </fill>
    <fill>
      <patternFill patternType="solid">
        <fgColor rgb="FFDDEBF0"/>
        <bgColor rgb="FFDCE6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0" fontId="5" fillId="7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8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5"/>
      <rgbColor rgb="FFE2EFDA"/>
      <rgbColor rgb="FFEDE2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zoomScaleNormal="100" workbookViewId="0">
      <pane xSplit="2" ySplit="1" topLeftCell="C105" activePane="bottomRight" state="frozen"/>
      <selection pane="topRight" activeCell="C1" sqref="C1"/>
      <selection pane="bottomLeft" activeCell="A2" sqref="A2"/>
      <selection pane="bottomRight" activeCell="B115" sqref="B115"/>
    </sheetView>
  </sheetViews>
  <sheetFormatPr defaultColWidth="8.7109375" defaultRowHeight="15" x14ac:dyDescent="0.25"/>
  <cols>
    <col min="1" max="1" width="7" customWidth="1"/>
    <col min="2" max="2" width="30" customWidth="1"/>
    <col min="3" max="3" width="14" customWidth="1"/>
    <col min="4" max="4" width="15" customWidth="1"/>
    <col min="5" max="5" width="16" customWidth="1"/>
    <col min="6" max="6" width="20" customWidth="1"/>
    <col min="7" max="7" width="13" customWidth="1"/>
    <col min="8" max="8" width="16" customWidth="1"/>
    <col min="9" max="10" width="11" customWidth="1"/>
    <col min="11" max="11" width="38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f t="shared" ref="A2:A65" si="0">RANK(E2,$E$2:$E$212,0)</f>
        <v>1</v>
      </c>
      <c r="B2" s="3" t="s">
        <v>11</v>
      </c>
      <c r="C2" s="3" t="s">
        <v>12</v>
      </c>
      <c r="D2" s="4">
        <v>68.400000000000006</v>
      </c>
      <c r="E2" s="5">
        <v>85</v>
      </c>
      <c r="F2" s="2">
        <f>IF(D2&lt;Notes!$B$6,Notes!$C$6,IF(D2&lt;Notes!$B$7,Notes!$C$7,IF(D2&lt;Notes!$B$8,Notes!$C$8,Notes!$C$9)))</f>
        <v>2</v>
      </c>
      <c r="G2" s="5">
        <v>0</v>
      </c>
      <c r="H2" s="6">
        <f>MIN(Notes!$B$3,MAX(1,F2+G2))</f>
        <v>2</v>
      </c>
      <c r="I2" s="2">
        <f t="shared" ref="I2:I65" si="1">E2-H2</f>
        <v>83</v>
      </c>
      <c r="J2" s="2">
        <f>MIN(E2+H2,Notes!$B$2)</f>
        <v>85</v>
      </c>
      <c r="K2" s="7"/>
    </row>
    <row r="3" spans="1:11" x14ac:dyDescent="0.25">
      <c r="A3" s="2">
        <f t="shared" si="0"/>
        <v>1</v>
      </c>
      <c r="B3" s="3" t="s">
        <v>13</v>
      </c>
      <c r="C3" s="3" t="s">
        <v>12</v>
      </c>
      <c r="D3" s="4">
        <v>48.6</v>
      </c>
      <c r="E3" s="5">
        <v>85</v>
      </c>
      <c r="F3" s="2">
        <f>IF(D3&lt;Notes!$B$6,Notes!$C$6,IF(D3&lt;Notes!$B$7,Notes!$C$7,IF(D3&lt;Notes!$B$8,Notes!$C$8,Notes!$C$9)))</f>
        <v>2</v>
      </c>
      <c r="G3" s="5">
        <v>0</v>
      </c>
      <c r="H3" s="6">
        <f>MIN(Notes!$B$3,MAX(1,F3+G3))</f>
        <v>2</v>
      </c>
      <c r="I3" s="2">
        <f t="shared" si="1"/>
        <v>83</v>
      </c>
      <c r="J3" s="2">
        <f>MIN(E3+H3,Notes!$B$2)</f>
        <v>85</v>
      </c>
      <c r="K3" s="7"/>
    </row>
    <row r="4" spans="1:11" x14ac:dyDescent="0.25">
      <c r="A4" s="2">
        <f t="shared" si="0"/>
        <v>3</v>
      </c>
      <c r="B4" s="8" t="s">
        <v>14</v>
      </c>
      <c r="C4" s="8" t="s">
        <v>15</v>
      </c>
      <c r="D4" s="4">
        <v>46</v>
      </c>
      <c r="E4" s="5">
        <v>84</v>
      </c>
      <c r="F4" s="2">
        <f>IF(D4&lt;Notes!$B$6,Notes!$C$6,IF(D4&lt;Notes!$B$7,Notes!$C$7,IF(D4&lt;Notes!$B$8,Notes!$C$8,Notes!$C$9)))</f>
        <v>2</v>
      </c>
      <c r="G4" s="5">
        <v>0</v>
      </c>
      <c r="H4" s="6">
        <f>MIN(Notes!$B$3,MAX(1,F4+G4))</f>
        <v>2</v>
      </c>
      <c r="I4" s="2">
        <f t="shared" si="1"/>
        <v>82</v>
      </c>
      <c r="J4" s="2">
        <f>MIN(E4+H4,Notes!$B$2)</f>
        <v>85</v>
      </c>
      <c r="K4" s="7"/>
    </row>
    <row r="5" spans="1:11" x14ac:dyDescent="0.25">
      <c r="A5" s="2">
        <f t="shared" si="0"/>
        <v>3</v>
      </c>
      <c r="B5" s="3" t="s">
        <v>16</v>
      </c>
      <c r="C5" s="3" t="s">
        <v>12</v>
      </c>
      <c r="D5" s="4">
        <v>57.1</v>
      </c>
      <c r="E5" s="5">
        <v>84</v>
      </c>
      <c r="F5" s="2">
        <f>IF(D5&lt;Notes!$B$6,Notes!$C$6,IF(D5&lt;Notes!$B$7,Notes!$C$7,IF(D5&lt;Notes!$B$8,Notes!$C$8,Notes!$C$9)))</f>
        <v>2</v>
      </c>
      <c r="G5" s="5">
        <v>0</v>
      </c>
      <c r="H5" s="6">
        <f>MIN(Notes!$B$3,MAX(1,F5+G5))</f>
        <v>2</v>
      </c>
      <c r="I5" s="2">
        <f t="shared" si="1"/>
        <v>82</v>
      </c>
      <c r="J5" s="2">
        <f>MIN(E5+H5,Notes!$B$2)</f>
        <v>85</v>
      </c>
      <c r="K5" s="7"/>
    </row>
    <row r="6" spans="1:11" x14ac:dyDescent="0.25">
      <c r="A6" s="2">
        <f t="shared" si="0"/>
        <v>3</v>
      </c>
      <c r="B6" s="8" t="s">
        <v>17</v>
      </c>
      <c r="C6" s="8" t="s">
        <v>15</v>
      </c>
      <c r="D6" s="4">
        <v>213</v>
      </c>
      <c r="E6" s="5">
        <v>84</v>
      </c>
      <c r="F6" s="2">
        <f>IF(D6&lt;Notes!$B$6,Notes!$C$6,IF(D6&lt;Notes!$B$7,Notes!$C$7,IF(D6&lt;Notes!$B$8,Notes!$C$8,Notes!$C$9)))</f>
        <v>2</v>
      </c>
      <c r="G6" s="5">
        <v>0</v>
      </c>
      <c r="H6" s="6">
        <f>MIN(Notes!$B$3,MAX(1,F6+G6))</f>
        <v>2</v>
      </c>
      <c r="I6" s="2">
        <f t="shared" si="1"/>
        <v>82</v>
      </c>
      <c r="J6" s="2">
        <f>MIN(E6+H6,Notes!$B$2)</f>
        <v>85</v>
      </c>
      <c r="K6" s="7"/>
    </row>
    <row r="7" spans="1:11" x14ac:dyDescent="0.25">
      <c r="A7" s="2">
        <f t="shared" si="0"/>
        <v>7</v>
      </c>
      <c r="B7" s="3" t="s">
        <v>18</v>
      </c>
      <c r="C7" s="3" t="s">
        <v>12</v>
      </c>
      <c r="D7" s="4">
        <v>10.6</v>
      </c>
      <c r="E7" s="5">
        <v>83</v>
      </c>
      <c r="F7" s="2">
        <f>IF(D7&lt;Notes!$B$6,Notes!$C$6,IF(D7&lt;Notes!$B$7,Notes!$C$7,IF(D7&lt;Notes!$B$8,Notes!$C$8,Notes!$C$9)))</f>
        <v>4</v>
      </c>
      <c r="G7" s="5">
        <v>0</v>
      </c>
      <c r="H7" s="6">
        <f>MIN(Notes!$B$3,MAX(1,F7+G7))</f>
        <v>4</v>
      </c>
      <c r="I7" s="2">
        <f t="shared" si="1"/>
        <v>79</v>
      </c>
      <c r="J7" s="2">
        <f>MIN(E7+H7,Notes!$B$2)</f>
        <v>85</v>
      </c>
      <c r="K7" s="7"/>
    </row>
    <row r="8" spans="1:11" x14ac:dyDescent="0.25">
      <c r="A8" s="2">
        <f t="shared" si="0"/>
        <v>3</v>
      </c>
      <c r="B8" s="3" t="s">
        <v>19</v>
      </c>
      <c r="C8" s="3" t="s">
        <v>12</v>
      </c>
      <c r="D8" s="4">
        <v>83.5</v>
      </c>
      <c r="E8" s="5">
        <v>84</v>
      </c>
      <c r="F8" s="2">
        <f>IF(D8&lt;Notes!$B$6,Notes!$C$6,IF(D8&lt;Notes!$B$7,Notes!$C$7,IF(D8&lt;Notes!$B$8,Notes!$C$8,Notes!$C$9)))</f>
        <v>2</v>
      </c>
      <c r="G8" s="5">
        <v>0</v>
      </c>
      <c r="H8" s="6">
        <f>MIN(Notes!$B$3,MAX(1,F8+G8))</f>
        <v>2</v>
      </c>
      <c r="I8" s="2">
        <f t="shared" si="1"/>
        <v>82</v>
      </c>
      <c r="J8" s="2">
        <f>MIN(E8+H8,Notes!$B$2)</f>
        <v>85</v>
      </c>
      <c r="K8" s="7"/>
    </row>
    <row r="9" spans="1:11" x14ac:dyDescent="0.25">
      <c r="A9" s="2">
        <f t="shared" si="0"/>
        <v>7</v>
      </c>
      <c r="B9" s="3" t="s">
        <v>20</v>
      </c>
      <c r="C9" s="3" t="s">
        <v>12</v>
      </c>
      <c r="D9" s="4">
        <v>18</v>
      </c>
      <c r="E9" s="5">
        <v>83</v>
      </c>
      <c r="F9" s="2">
        <f>IF(D9&lt;Notes!$B$6,Notes!$C$6,IF(D9&lt;Notes!$B$7,Notes!$C$7,IF(D9&lt;Notes!$B$8,Notes!$C$8,Notes!$C$9)))</f>
        <v>3</v>
      </c>
      <c r="G9" s="5">
        <v>0</v>
      </c>
      <c r="H9" s="6">
        <f>MIN(Notes!$B$3,MAX(1,F9+G9))</f>
        <v>3</v>
      </c>
      <c r="I9" s="2">
        <f t="shared" si="1"/>
        <v>80</v>
      </c>
      <c r="J9" s="2">
        <f>MIN(E9+H9,Notes!$B$2)</f>
        <v>85</v>
      </c>
      <c r="K9" s="7"/>
    </row>
    <row r="10" spans="1:11" x14ac:dyDescent="0.25">
      <c r="A10" s="2">
        <f t="shared" si="0"/>
        <v>10</v>
      </c>
      <c r="B10" s="9" t="s">
        <v>21</v>
      </c>
      <c r="C10" s="9" t="s">
        <v>22</v>
      </c>
      <c r="D10" s="4">
        <v>37.799999999999997</v>
      </c>
      <c r="E10" s="5">
        <v>82</v>
      </c>
      <c r="F10" s="2">
        <f>IF(D10&lt;Notes!$B$6,Notes!$C$6,IF(D10&lt;Notes!$B$7,Notes!$C$7,IF(D10&lt;Notes!$B$8,Notes!$C$8,Notes!$C$9)))</f>
        <v>3</v>
      </c>
      <c r="G10" s="5">
        <v>1</v>
      </c>
      <c r="H10" s="6">
        <f>MIN(Notes!$B$3,MAX(1,F10+G10))</f>
        <v>4</v>
      </c>
      <c r="I10" s="2">
        <f t="shared" si="1"/>
        <v>78</v>
      </c>
      <c r="J10" s="2">
        <f>MIN(E10+H10,Notes!$B$2)</f>
        <v>85</v>
      </c>
      <c r="K10" s="7" t="s">
        <v>23</v>
      </c>
    </row>
    <row r="11" spans="1:11" x14ac:dyDescent="0.25">
      <c r="A11" s="2">
        <f t="shared" si="0"/>
        <v>11</v>
      </c>
      <c r="B11" s="3" t="s">
        <v>24</v>
      </c>
      <c r="C11" s="3" t="s">
        <v>12</v>
      </c>
      <c r="D11" s="4">
        <v>11.8</v>
      </c>
      <c r="E11" s="5">
        <v>80</v>
      </c>
      <c r="F11" s="2">
        <f>IF(D11&lt;Notes!$B$6,Notes!$C$6,IF(D11&lt;Notes!$B$7,Notes!$C$7,IF(D11&lt;Notes!$B$8,Notes!$C$8,Notes!$C$9)))</f>
        <v>4</v>
      </c>
      <c r="G11" s="5">
        <v>0</v>
      </c>
      <c r="H11" s="6">
        <f>MIN(Notes!$B$3,MAX(1,F11+G11))</f>
        <v>4</v>
      </c>
      <c r="I11" s="2">
        <f t="shared" si="1"/>
        <v>76</v>
      </c>
      <c r="J11" s="2">
        <f>MIN(E11+H11,Notes!$B$2)</f>
        <v>84</v>
      </c>
      <c r="K11" s="7"/>
    </row>
    <row r="12" spans="1:11" x14ac:dyDescent="0.25">
      <c r="A12" s="2">
        <f t="shared" si="0"/>
        <v>7</v>
      </c>
      <c r="B12" s="3" t="s">
        <v>25</v>
      </c>
      <c r="C12" s="3" t="s">
        <v>12</v>
      </c>
      <c r="D12" s="4">
        <v>59</v>
      </c>
      <c r="E12" s="5">
        <v>83</v>
      </c>
      <c r="F12" s="2">
        <f>IF(D12&lt;Notes!$B$6,Notes!$C$6,IF(D12&lt;Notes!$B$7,Notes!$C$7,IF(D12&lt;Notes!$B$8,Notes!$C$8,Notes!$C$9)))</f>
        <v>2</v>
      </c>
      <c r="G12" s="5">
        <v>0</v>
      </c>
      <c r="H12" s="6">
        <f>MIN(Notes!$B$3,MAX(1,F12+G12))</f>
        <v>2</v>
      </c>
      <c r="I12" s="2">
        <f t="shared" si="1"/>
        <v>81</v>
      </c>
      <c r="J12" s="2">
        <f>MIN(E12+H12,Notes!$B$2)</f>
        <v>85</v>
      </c>
      <c r="K12" s="7"/>
    </row>
    <row r="13" spans="1:11" x14ac:dyDescent="0.25">
      <c r="A13" s="2">
        <f t="shared" si="0"/>
        <v>11</v>
      </c>
      <c r="B13" s="8" t="s">
        <v>26</v>
      </c>
      <c r="C13" s="8" t="s">
        <v>15</v>
      </c>
      <c r="D13" s="4">
        <v>53</v>
      </c>
      <c r="E13" s="5">
        <v>80</v>
      </c>
      <c r="F13" s="2">
        <f>IF(D13&lt;Notes!$B$6,Notes!$C$6,IF(D13&lt;Notes!$B$7,Notes!$C$7,IF(D13&lt;Notes!$B$8,Notes!$C$8,Notes!$C$9)))</f>
        <v>2</v>
      </c>
      <c r="G13" s="5">
        <v>0</v>
      </c>
      <c r="H13" s="6">
        <f>MIN(Notes!$B$3,MAX(1,F13+G13))</f>
        <v>2</v>
      </c>
      <c r="I13" s="2">
        <f t="shared" si="1"/>
        <v>78</v>
      </c>
      <c r="J13" s="2">
        <f>MIN(E13+H13,Notes!$B$2)</f>
        <v>82</v>
      </c>
      <c r="K13" s="7"/>
    </row>
    <row r="14" spans="1:11" x14ac:dyDescent="0.25">
      <c r="A14" s="2">
        <f t="shared" si="0"/>
        <v>11</v>
      </c>
      <c r="B14" s="8" t="s">
        <v>27</v>
      </c>
      <c r="C14" s="8" t="s">
        <v>15</v>
      </c>
      <c r="D14" s="4">
        <v>3.4</v>
      </c>
      <c r="E14" s="5">
        <v>80</v>
      </c>
      <c r="F14" s="2">
        <f>IF(D14&lt;Notes!$B$6,Notes!$C$6,IF(D14&lt;Notes!$B$7,Notes!$C$7,IF(D14&lt;Notes!$B$8,Notes!$C$8,Notes!$C$9)))</f>
        <v>5</v>
      </c>
      <c r="G14" s="5">
        <v>0</v>
      </c>
      <c r="H14" s="6">
        <f>MIN(Notes!$B$3,MAX(1,F14+G14))</f>
        <v>5</v>
      </c>
      <c r="I14" s="2">
        <f t="shared" si="1"/>
        <v>75</v>
      </c>
      <c r="J14" s="2">
        <f>MIN(E14+H14,Notes!$B$2)</f>
        <v>85</v>
      </c>
      <c r="K14" s="7"/>
    </row>
    <row r="15" spans="1:11" x14ac:dyDescent="0.25">
      <c r="A15" s="2">
        <f t="shared" si="0"/>
        <v>17</v>
      </c>
      <c r="B15" s="3" t="s">
        <v>28</v>
      </c>
      <c r="C15" s="3" t="s">
        <v>12</v>
      </c>
      <c r="D15" s="4">
        <v>3.86</v>
      </c>
      <c r="E15" s="5">
        <v>78</v>
      </c>
      <c r="F15" s="2">
        <f>IF(D15&lt;Notes!$B$6,Notes!$C$6,IF(D15&lt;Notes!$B$7,Notes!$C$7,IF(D15&lt;Notes!$B$8,Notes!$C$8,Notes!$C$9)))</f>
        <v>5</v>
      </c>
      <c r="G15" s="5">
        <v>0</v>
      </c>
      <c r="H15" s="6">
        <f>MIN(Notes!$B$3,MAX(1,F15+G15))</f>
        <v>5</v>
      </c>
      <c r="I15" s="2">
        <f t="shared" si="1"/>
        <v>73</v>
      </c>
      <c r="J15" s="2">
        <f>MIN(E15+H15,Notes!$B$2)</f>
        <v>83</v>
      </c>
      <c r="K15" s="7"/>
    </row>
    <row r="16" spans="1:11" x14ac:dyDescent="0.25">
      <c r="A16" s="2">
        <f t="shared" si="0"/>
        <v>14</v>
      </c>
      <c r="B16" s="10" t="s">
        <v>29</v>
      </c>
      <c r="C16" s="10" t="s">
        <v>30</v>
      </c>
      <c r="D16" s="4">
        <v>123.5</v>
      </c>
      <c r="E16" s="5">
        <v>79</v>
      </c>
      <c r="F16" s="2">
        <f>IF(D16&lt;Notes!$B$6,Notes!$C$6,IF(D16&lt;Notes!$B$7,Notes!$C$7,IF(D16&lt;Notes!$B$8,Notes!$C$8,Notes!$C$9)))</f>
        <v>2</v>
      </c>
      <c r="G16" s="5">
        <v>0</v>
      </c>
      <c r="H16" s="6">
        <f>MIN(Notes!$B$3,MAX(1,F16+G16))</f>
        <v>2</v>
      </c>
      <c r="I16" s="2">
        <f t="shared" si="1"/>
        <v>77</v>
      </c>
      <c r="J16" s="2">
        <f>MIN(E16+H16,Notes!$B$2)</f>
        <v>81</v>
      </c>
      <c r="K16" s="7"/>
    </row>
    <row r="17" spans="1:11" x14ac:dyDescent="0.25">
      <c r="A17" s="2">
        <f t="shared" si="0"/>
        <v>17</v>
      </c>
      <c r="B17" s="9" t="s">
        <v>31</v>
      </c>
      <c r="C17" s="9" t="s">
        <v>22</v>
      </c>
      <c r="D17" s="4">
        <v>18.5</v>
      </c>
      <c r="E17" s="5">
        <v>78</v>
      </c>
      <c r="F17" s="2">
        <f>IF(D17&lt;Notes!$B$6,Notes!$C$6,IF(D17&lt;Notes!$B$7,Notes!$C$7,IF(D17&lt;Notes!$B$8,Notes!$C$8,Notes!$C$9)))</f>
        <v>3</v>
      </c>
      <c r="G17" s="5">
        <v>1</v>
      </c>
      <c r="H17" s="6">
        <f>MIN(Notes!$B$3,MAX(1,F17+G17))</f>
        <v>4</v>
      </c>
      <c r="I17" s="2">
        <f t="shared" si="1"/>
        <v>74</v>
      </c>
      <c r="J17" s="2">
        <f>MIN(E17+H17,Notes!$B$2)</f>
        <v>82</v>
      </c>
      <c r="K17" s="7" t="s">
        <v>23</v>
      </c>
    </row>
    <row r="18" spans="1:11" x14ac:dyDescent="0.25">
      <c r="A18" s="2">
        <f t="shared" si="0"/>
        <v>19</v>
      </c>
      <c r="B18" s="11" t="s">
        <v>32</v>
      </c>
      <c r="C18" s="11" t="s">
        <v>33</v>
      </c>
      <c r="D18" s="4">
        <v>131</v>
      </c>
      <c r="E18" s="5">
        <v>77</v>
      </c>
      <c r="F18" s="2">
        <f>IF(D18&lt;Notes!$B$6,Notes!$C$6,IF(D18&lt;Notes!$B$7,Notes!$C$7,IF(D18&lt;Notes!$B$8,Notes!$C$8,Notes!$C$9)))</f>
        <v>2</v>
      </c>
      <c r="G18" s="5">
        <v>0</v>
      </c>
      <c r="H18" s="6">
        <f>MIN(Notes!$B$3,MAX(1,F18+G18))</f>
        <v>2</v>
      </c>
      <c r="I18" s="2">
        <f t="shared" si="1"/>
        <v>75</v>
      </c>
      <c r="J18" s="2">
        <f>MIN(E18+H18,Notes!$B$2)</f>
        <v>79</v>
      </c>
      <c r="K18" s="7"/>
    </row>
    <row r="19" spans="1:11" x14ac:dyDescent="0.25">
      <c r="A19" s="2">
        <f t="shared" si="0"/>
        <v>14</v>
      </c>
      <c r="B19" s="3" t="s">
        <v>34</v>
      </c>
      <c r="C19" s="3" t="s">
        <v>12</v>
      </c>
      <c r="D19" s="4">
        <v>5.6</v>
      </c>
      <c r="E19" s="5">
        <v>79</v>
      </c>
      <c r="F19" s="2">
        <f>IF(D19&lt;Notes!$B$6,Notes!$C$6,IF(D19&lt;Notes!$B$7,Notes!$C$7,IF(D19&lt;Notes!$B$8,Notes!$C$8,Notes!$C$9)))</f>
        <v>4</v>
      </c>
      <c r="G19" s="5">
        <v>0</v>
      </c>
      <c r="H19" s="6">
        <f>MIN(Notes!$B$3,MAX(1,F19+G19))</f>
        <v>4</v>
      </c>
      <c r="I19" s="2">
        <f t="shared" si="1"/>
        <v>75</v>
      </c>
      <c r="J19" s="2">
        <f>MIN(E19+H19,Notes!$B$2)</f>
        <v>83</v>
      </c>
      <c r="K19" s="7"/>
    </row>
    <row r="20" spans="1:11" x14ac:dyDescent="0.25">
      <c r="A20" s="2">
        <f t="shared" si="0"/>
        <v>14</v>
      </c>
      <c r="B20" s="3" t="s">
        <v>35</v>
      </c>
      <c r="C20" s="3" t="s">
        <v>12</v>
      </c>
      <c r="D20" s="4">
        <v>9</v>
      </c>
      <c r="E20" s="5">
        <v>79</v>
      </c>
      <c r="F20" s="2">
        <f>IF(D20&lt;Notes!$B$6,Notes!$C$6,IF(D20&lt;Notes!$B$7,Notes!$C$7,IF(D20&lt;Notes!$B$8,Notes!$C$8,Notes!$C$9)))</f>
        <v>4</v>
      </c>
      <c r="G20" s="5">
        <v>0</v>
      </c>
      <c r="H20" s="6">
        <f>MIN(Notes!$B$3,MAX(1,F20+G20))</f>
        <v>4</v>
      </c>
      <c r="I20" s="2">
        <f t="shared" si="1"/>
        <v>75</v>
      </c>
      <c r="J20" s="2">
        <f>MIN(E20+H20,Notes!$B$2)</f>
        <v>83</v>
      </c>
      <c r="K20" s="7"/>
    </row>
    <row r="21" spans="1:11" x14ac:dyDescent="0.25">
      <c r="A21" s="2">
        <f t="shared" si="0"/>
        <v>19</v>
      </c>
      <c r="B21" s="11" t="s">
        <v>36</v>
      </c>
      <c r="C21" s="11" t="s">
        <v>33</v>
      </c>
      <c r="D21" s="4">
        <v>340</v>
      </c>
      <c r="E21" s="5">
        <v>77</v>
      </c>
      <c r="F21" s="2">
        <f>IF(D21&lt;Notes!$B$6,Notes!$C$6,IF(D21&lt;Notes!$B$7,Notes!$C$7,IF(D21&lt;Notes!$B$8,Notes!$C$8,Notes!$C$9)))</f>
        <v>2</v>
      </c>
      <c r="G21" s="5">
        <v>1</v>
      </c>
      <c r="H21" s="6">
        <f>MIN(Notes!$B$3,MAX(1,F21+G21))</f>
        <v>3</v>
      </c>
      <c r="I21" s="2">
        <f t="shared" si="1"/>
        <v>74</v>
      </c>
      <c r="J21" s="2">
        <f>MIN(E21+H21,Notes!$B$2)</f>
        <v>80</v>
      </c>
      <c r="K21" s="7" t="s">
        <v>37</v>
      </c>
    </row>
    <row r="22" spans="1:11" x14ac:dyDescent="0.25">
      <c r="A22" s="2">
        <f t="shared" si="0"/>
        <v>19</v>
      </c>
      <c r="B22" s="8" t="s">
        <v>38</v>
      </c>
      <c r="C22" s="8" t="s">
        <v>15</v>
      </c>
      <c r="D22" s="4">
        <v>18</v>
      </c>
      <c r="E22" s="5">
        <v>77</v>
      </c>
      <c r="F22" s="2">
        <f>IF(D22&lt;Notes!$B$6,Notes!$C$6,IF(D22&lt;Notes!$B$7,Notes!$C$7,IF(D22&lt;Notes!$B$8,Notes!$C$8,Notes!$C$9)))</f>
        <v>3</v>
      </c>
      <c r="G22" s="5">
        <v>0</v>
      </c>
      <c r="H22" s="6">
        <f>MIN(Notes!$B$3,MAX(1,F22+G22))</f>
        <v>3</v>
      </c>
      <c r="I22" s="2">
        <f t="shared" si="1"/>
        <v>74</v>
      </c>
      <c r="J22" s="2">
        <f>MIN(E22+H22,Notes!$B$2)</f>
        <v>80</v>
      </c>
      <c r="K22" s="7"/>
    </row>
    <row r="23" spans="1:11" x14ac:dyDescent="0.25">
      <c r="A23" s="2">
        <f t="shared" si="0"/>
        <v>19</v>
      </c>
      <c r="B23" s="3" t="s">
        <v>39</v>
      </c>
      <c r="C23" s="3" t="s">
        <v>12</v>
      </c>
      <c r="D23" s="4">
        <v>6</v>
      </c>
      <c r="E23" s="5">
        <v>77</v>
      </c>
      <c r="F23" s="2">
        <f>IF(D23&lt;Notes!$B$6,Notes!$C$6,IF(D23&lt;Notes!$B$7,Notes!$C$7,IF(D23&lt;Notes!$B$8,Notes!$C$8,Notes!$C$9)))</f>
        <v>4</v>
      </c>
      <c r="G23" s="5">
        <v>0</v>
      </c>
      <c r="H23" s="6">
        <f>MIN(Notes!$B$3,MAX(1,F23+G23))</f>
        <v>4</v>
      </c>
      <c r="I23" s="2">
        <f t="shared" si="1"/>
        <v>73</v>
      </c>
      <c r="J23" s="2">
        <f>MIN(E23+H23,Notes!$B$2)</f>
        <v>81</v>
      </c>
      <c r="K23" s="7"/>
    </row>
    <row r="24" spans="1:11" x14ac:dyDescent="0.25">
      <c r="A24" s="2">
        <f t="shared" si="0"/>
        <v>19</v>
      </c>
      <c r="B24" s="3" t="s">
        <v>40</v>
      </c>
      <c r="C24" s="3" t="s">
        <v>12</v>
      </c>
      <c r="D24" s="4">
        <v>85.7</v>
      </c>
      <c r="E24" s="5">
        <v>77</v>
      </c>
      <c r="F24" s="2">
        <f>IF(D24&lt;Notes!$B$6,Notes!$C$6,IF(D24&lt;Notes!$B$7,Notes!$C$7,IF(D24&lt;Notes!$B$8,Notes!$C$8,Notes!$C$9)))</f>
        <v>2</v>
      </c>
      <c r="G24" s="5">
        <v>1</v>
      </c>
      <c r="H24" s="6">
        <f>MIN(Notes!$B$3,MAX(1,F24+G24))</f>
        <v>3</v>
      </c>
      <c r="I24" s="2">
        <f t="shared" si="1"/>
        <v>74</v>
      </c>
      <c r="J24" s="2">
        <f>MIN(E24+H24,Notes!$B$2)</f>
        <v>80</v>
      </c>
      <c r="K24" s="7" t="s">
        <v>23</v>
      </c>
    </row>
    <row r="25" spans="1:11" x14ac:dyDescent="0.25">
      <c r="A25" s="2">
        <f t="shared" si="0"/>
        <v>25</v>
      </c>
      <c r="B25" s="9" t="s">
        <v>41</v>
      </c>
      <c r="C25" s="9" t="s">
        <v>22</v>
      </c>
      <c r="D25" s="4">
        <v>31.9</v>
      </c>
      <c r="E25" s="5">
        <v>76</v>
      </c>
      <c r="F25" s="2">
        <f>IF(D25&lt;Notes!$B$6,Notes!$C$6,IF(D25&lt;Notes!$B$7,Notes!$C$7,IF(D25&lt;Notes!$B$8,Notes!$C$8,Notes!$C$9)))</f>
        <v>3</v>
      </c>
      <c r="G25" s="5">
        <v>1</v>
      </c>
      <c r="H25" s="6">
        <f>MIN(Notes!$B$3,MAX(1,F25+G25))</f>
        <v>4</v>
      </c>
      <c r="I25" s="2">
        <f t="shared" si="1"/>
        <v>72</v>
      </c>
      <c r="J25" s="2">
        <f>MIN(E25+H25,Notes!$B$2)</f>
        <v>80</v>
      </c>
      <c r="K25" s="7" t="s">
        <v>23</v>
      </c>
    </row>
    <row r="26" spans="1:11" x14ac:dyDescent="0.25">
      <c r="A26" s="2">
        <f t="shared" si="0"/>
        <v>25</v>
      </c>
      <c r="B26" s="9" t="s">
        <v>42</v>
      </c>
      <c r="C26" s="9" t="s">
        <v>22</v>
      </c>
      <c r="D26" s="4">
        <v>230</v>
      </c>
      <c r="E26" s="5">
        <v>76</v>
      </c>
      <c r="F26" s="2">
        <f>IF(D26&lt;Notes!$B$6,Notes!$C$6,IF(D26&lt;Notes!$B$7,Notes!$C$7,IF(D26&lt;Notes!$B$8,Notes!$C$8,Notes!$C$9)))</f>
        <v>2</v>
      </c>
      <c r="G26" s="5">
        <v>0</v>
      </c>
      <c r="H26" s="6">
        <f>MIN(Notes!$B$3,MAX(1,F26+G26))</f>
        <v>2</v>
      </c>
      <c r="I26" s="2">
        <f t="shared" si="1"/>
        <v>74</v>
      </c>
      <c r="J26" s="2">
        <f>MIN(E26+H26,Notes!$B$2)</f>
        <v>78</v>
      </c>
      <c r="K26" s="7"/>
    </row>
    <row r="27" spans="1:11" x14ac:dyDescent="0.25">
      <c r="A27" s="2">
        <f t="shared" si="0"/>
        <v>25</v>
      </c>
      <c r="B27" s="3" t="s">
        <v>43</v>
      </c>
      <c r="C27" s="3" t="s">
        <v>12</v>
      </c>
      <c r="D27" s="4">
        <v>9.1999999999999993</v>
      </c>
      <c r="E27" s="5">
        <v>76</v>
      </c>
      <c r="F27" s="2">
        <f>IF(D27&lt;Notes!$B$6,Notes!$C$6,IF(D27&lt;Notes!$B$7,Notes!$C$7,IF(D27&lt;Notes!$B$8,Notes!$C$8,Notes!$C$9)))</f>
        <v>4</v>
      </c>
      <c r="G27" s="5">
        <v>0</v>
      </c>
      <c r="H27" s="6">
        <f>MIN(Notes!$B$3,MAX(1,F27+G27))</f>
        <v>4</v>
      </c>
      <c r="I27" s="2">
        <f t="shared" si="1"/>
        <v>72</v>
      </c>
      <c r="J27" s="2">
        <f>MIN(E27+H27,Notes!$B$2)</f>
        <v>80</v>
      </c>
      <c r="K27" s="7"/>
    </row>
    <row r="28" spans="1:11" x14ac:dyDescent="0.25">
      <c r="A28" s="2">
        <f t="shared" si="0"/>
        <v>19</v>
      </c>
      <c r="B28" s="10" t="s">
        <v>44</v>
      </c>
      <c r="C28" s="10" t="s">
        <v>30</v>
      </c>
      <c r="D28" s="4">
        <v>51.7</v>
      </c>
      <c r="E28" s="5">
        <v>77</v>
      </c>
      <c r="F28" s="2">
        <f>IF(D28&lt;Notes!$B$6,Notes!$C$6,IF(D28&lt;Notes!$B$7,Notes!$C$7,IF(D28&lt;Notes!$B$8,Notes!$C$8,Notes!$C$9)))</f>
        <v>2</v>
      </c>
      <c r="G28" s="5">
        <v>0</v>
      </c>
      <c r="H28" s="6">
        <f>MIN(Notes!$B$3,MAX(1,F28+G28))</f>
        <v>2</v>
      </c>
      <c r="I28" s="2">
        <f t="shared" si="1"/>
        <v>75</v>
      </c>
      <c r="J28" s="2">
        <f>MIN(E28+H28,Notes!$B$2)</f>
        <v>79</v>
      </c>
      <c r="K28" s="7"/>
    </row>
    <row r="29" spans="1:11" x14ac:dyDescent="0.25">
      <c r="A29" s="2">
        <f t="shared" si="0"/>
        <v>28</v>
      </c>
      <c r="B29" s="9" t="s">
        <v>45</v>
      </c>
      <c r="C29" s="9" t="s">
        <v>22</v>
      </c>
      <c r="D29" s="4">
        <v>47</v>
      </c>
      <c r="E29" s="5">
        <v>75</v>
      </c>
      <c r="F29" s="2">
        <f>IF(D29&lt;Notes!$B$6,Notes!$C$6,IF(D29&lt;Notes!$B$7,Notes!$C$7,IF(D29&lt;Notes!$B$8,Notes!$C$8,Notes!$C$9)))</f>
        <v>2</v>
      </c>
      <c r="G29" s="5">
        <v>1</v>
      </c>
      <c r="H29" s="6">
        <f>MIN(Notes!$B$3,MAX(1,F29+G29))</f>
        <v>3</v>
      </c>
      <c r="I29" s="2">
        <f t="shared" si="1"/>
        <v>72</v>
      </c>
      <c r="J29" s="2">
        <f>MIN(E29+H29,Notes!$B$2)</f>
        <v>78</v>
      </c>
      <c r="K29" s="7" t="s">
        <v>23</v>
      </c>
    </row>
    <row r="30" spans="1:11" x14ac:dyDescent="0.25">
      <c r="A30" s="2">
        <f t="shared" si="0"/>
        <v>28</v>
      </c>
      <c r="B30" s="9" t="s">
        <v>46</v>
      </c>
      <c r="C30" s="9" t="s">
        <v>22</v>
      </c>
      <c r="D30" s="4">
        <v>116</v>
      </c>
      <c r="E30" s="5">
        <v>75</v>
      </c>
      <c r="F30" s="2">
        <f>IF(D30&lt;Notes!$B$6,Notes!$C$6,IF(D30&lt;Notes!$B$7,Notes!$C$7,IF(D30&lt;Notes!$B$8,Notes!$C$8,Notes!$C$9)))</f>
        <v>2</v>
      </c>
      <c r="G30" s="5">
        <v>0</v>
      </c>
      <c r="H30" s="6">
        <f>MIN(Notes!$B$3,MAX(1,F30+G30))</f>
        <v>2</v>
      </c>
      <c r="I30" s="2">
        <f t="shared" si="1"/>
        <v>73</v>
      </c>
      <c r="J30" s="2">
        <f>MIN(E30+H30,Notes!$B$2)</f>
        <v>77</v>
      </c>
      <c r="K30" s="7"/>
    </row>
    <row r="31" spans="1:11" x14ac:dyDescent="0.25">
      <c r="A31" s="2">
        <f t="shared" si="0"/>
        <v>28</v>
      </c>
      <c r="B31" s="11" t="s">
        <v>47</v>
      </c>
      <c r="C31" s="11" t="s">
        <v>33</v>
      </c>
      <c r="D31" s="4">
        <v>41.5</v>
      </c>
      <c r="E31" s="5">
        <v>75</v>
      </c>
      <c r="F31" s="2">
        <f>IF(D31&lt;Notes!$B$6,Notes!$C$6,IF(D31&lt;Notes!$B$7,Notes!$C$7,IF(D31&lt;Notes!$B$8,Notes!$C$8,Notes!$C$9)))</f>
        <v>2</v>
      </c>
      <c r="G31" s="5">
        <v>1</v>
      </c>
      <c r="H31" s="6">
        <f>MIN(Notes!$B$3,MAX(1,F31+G31))</f>
        <v>3</v>
      </c>
      <c r="I31" s="2">
        <f t="shared" si="1"/>
        <v>72</v>
      </c>
      <c r="J31" s="2">
        <f>MIN(E31+H31,Notes!$B$2)</f>
        <v>78</v>
      </c>
      <c r="K31" s="7" t="s">
        <v>37</v>
      </c>
    </row>
    <row r="32" spans="1:11" x14ac:dyDescent="0.25">
      <c r="A32" s="2">
        <f t="shared" si="0"/>
        <v>33</v>
      </c>
      <c r="B32" s="8" t="s">
        <v>48</v>
      </c>
      <c r="C32" s="8" t="s">
        <v>15</v>
      </c>
      <c r="D32" s="4">
        <v>6.9</v>
      </c>
      <c r="E32" s="5">
        <v>74</v>
      </c>
      <c r="F32" s="2">
        <f>IF(D32&lt;Notes!$B$6,Notes!$C$6,IF(D32&lt;Notes!$B$7,Notes!$C$7,IF(D32&lt;Notes!$B$8,Notes!$C$8,Notes!$C$9)))</f>
        <v>4</v>
      </c>
      <c r="G32" s="5">
        <v>0</v>
      </c>
      <c r="H32" s="6">
        <f>MIN(Notes!$B$3,MAX(1,F32+G32))</f>
        <v>4</v>
      </c>
      <c r="I32" s="2">
        <f t="shared" si="1"/>
        <v>70</v>
      </c>
      <c r="J32" s="2">
        <f>MIN(E32+H32,Notes!$B$2)</f>
        <v>78</v>
      </c>
      <c r="K32" s="7"/>
    </row>
    <row r="33" spans="1:11" x14ac:dyDescent="0.25">
      <c r="A33" s="2">
        <f t="shared" si="0"/>
        <v>28</v>
      </c>
      <c r="B33" s="3" t="s">
        <v>49</v>
      </c>
      <c r="C33" s="3" t="s">
        <v>12</v>
      </c>
      <c r="D33" s="4">
        <v>10.6</v>
      </c>
      <c r="E33" s="5">
        <v>75</v>
      </c>
      <c r="F33" s="2">
        <f>IF(D33&lt;Notes!$B$6,Notes!$C$6,IF(D33&lt;Notes!$B$7,Notes!$C$7,IF(D33&lt;Notes!$B$8,Notes!$C$8,Notes!$C$9)))</f>
        <v>4</v>
      </c>
      <c r="G33" s="5">
        <v>0</v>
      </c>
      <c r="H33" s="6">
        <f>MIN(Notes!$B$3,MAX(1,F33+G33))</f>
        <v>4</v>
      </c>
      <c r="I33" s="2">
        <f t="shared" si="1"/>
        <v>71</v>
      </c>
      <c r="J33" s="2">
        <f>MIN(E33+H33,Notes!$B$2)</f>
        <v>79</v>
      </c>
      <c r="K33" s="7"/>
    </row>
    <row r="34" spans="1:11" x14ac:dyDescent="0.25">
      <c r="A34" s="2">
        <f t="shared" si="0"/>
        <v>28</v>
      </c>
      <c r="B34" s="3" t="s">
        <v>50</v>
      </c>
      <c r="C34" s="3" t="s">
        <v>12</v>
      </c>
      <c r="D34" s="4">
        <v>33</v>
      </c>
      <c r="E34" s="5">
        <v>75</v>
      </c>
      <c r="F34" s="2">
        <f>IF(D34&lt;Notes!$B$6,Notes!$C$6,IF(D34&lt;Notes!$B$7,Notes!$C$7,IF(D34&lt;Notes!$B$8,Notes!$C$8,Notes!$C$9)))</f>
        <v>3</v>
      </c>
      <c r="G34" s="5">
        <v>0</v>
      </c>
      <c r="H34" s="6">
        <f>MIN(Notes!$B$3,MAX(1,F34+G34))</f>
        <v>3</v>
      </c>
      <c r="I34" s="2">
        <f t="shared" si="1"/>
        <v>72</v>
      </c>
      <c r="J34" s="2">
        <f>MIN(E34+H34,Notes!$B$2)</f>
        <v>78</v>
      </c>
      <c r="K34" s="7"/>
    </row>
    <row r="35" spans="1:11" x14ac:dyDescent="0.25">
      <c r="A35" s="2">
        <f t="shared" si="0"/>
        <v>33</v>
      </c>
      <c r="B35" s="10" t="s">
        <v>51</v>
      </c>
      <c r="C35" s="10" t="s">
        <v>30</v>
      </c>
      <c r="D35" s="4">
        <v>91</v>
      </c>
      <c r="E35" s="5">
        <v>74</v>
      </c>
      <c r="F35" s="2">
        <f>IF(D35&lt;Notes!$B$6,Notes!$C$6,IF(D35&lt;Notes!$B$7,Notes!$C$7,IF(D35&lt;Notes!$B$8,Notes!$C$8,Notes!$C$9)))</f>
        <v>2</v>
      </c>
      <c r="G35" s="5">
        <v>0</v>
      </c>
      <c r="H35" s="6">
        <f>MIN(Notes!$B$3,MAX(1,F35+G35))</f>
        <v>2</v>
      </c>
      <c r="I35" s="2">
        <f t="shared" si="1"/>
        <v>72</v>
      </c>
      <c r="J35" s="2">
        <f>MIN(E35+H35,Notes!$B$2)</f>
        <v>76</v>
      </c>
      <c r="K35" s="7"/>
    </row>
    <row r="36" spans="1:11" x14ac:dyDescent="0.25">
      <c r="A36" s="2">
        <f t="shared" si="0"/>
        <v>33</v>
      </c>
      <c r="B36" s="3" t="s">
        <v>52</v>
      </c>
      <c r="C36" s="3" t="s">
        <v>12</v>
      </c>
      <c r="D36" s="4">
        <v>36.6</v>
      </c>
      <c r="E36" s="5">
        <v>74</v>
      </c>
      <c r="F36" s="2">
        <f>IF(D36&lt;Notes!$B$6,Notes!$C$6,IF(D36&lt;Notes!$B$7,Notes!$C$7,IF(D36&lt;Notes!$B$8,Notes!$C$8,Notes!$C$9)))</f>
        <v>3</v>
      </c>
      <c r="G36" s="5">
        <v>0</v>
      </c>
      <c r="H36" s="6">
        <f>MIN(Notes!$B$3,MAX(1,F36+G36))</f>
        <v>3</v>
      </c>
      <c r="I36" s="2">
        <f t="shared" si="1"/>
        <v>71</v>
      </c>
      <c r="J36" s="2">
        <f>MIN(E36+H36,Notes!$B$2)</f>
        <v>77</v>
      </c>
      <c r="K36" s="7"/>
    </row>
    <row r="37" spans="1:11" x14ac:dyDescent="0.25">
      <c r="A37" s="2">
        <f t="shared" si="0"/>
        <v>33</v>
      </c>
      <c r="B37" s="3" t="s">
        <v>53</v>
      </c>
      <c r="C37" s="3" t="s">
        <v>12</v>
      </c>
      <c r="D37" s="4">
        <v>6.6</v>
      </c>
      <c r="E37" s="5">
        <v>74</v>
      </c>
      <c r="F37" s="2">
        <f>IF(D37&lt;Notes!$B$6,Notes!$C$6,IF(D37&lt;Notes!$B$7,Notes!$C$7,IF(D37&lt;Notes!$B$8,Notes!$C$8,Notes!$C$9)))</f>
        <v>4</v>
      </c>
      <c r="G37" s="5">
        <v>0</v>
      </c>
      <c r="H37" s="6">
        <f>MIN(Notes!$B$3,MAX(1,F37+G37))</f>
        <v>4</v>
      </c>
      <c r="I37" s="2">
        <f t="shared" si="1"/>
        <v>70</v>
      </c>
      <c r="J37" s="2">
        <f>MIN(E37+H37,Notes!$B$2)</f>
        <v>78</v>
      </c>
      <c r="K37" s="7"/>
    </row>
    <row r="38" spans="1:11" x14ac:dyDescent="0.25">
      <c r="A38" s="2">
        <f t="shared" si="0"/>
        <v>45</v>
      </c>
      <c r="B38" s="10" t="s">
        <v>54</v>
      </c>
      <c r="C38" s="10" t="s">
        <v>30</v>
      </c>
      <c r="D38" s="4">
        <v>27.2</v>
      </c>
      <c r="E38" s="5">
        <v>72</v>
      </c>
      <c r="F38" s="2">
        <f>IF(D38&lt;Notes!$B$6,Notes!$C$6,IF(D38&lt;Notes!$B$7,Notes!$C$7,IF(D38&lt;Notes!$B$8,Notes!$C$8,Notes!$C$9)))</f>
        <v>3</v>
      </c>
      <c r="G38" s="5">
        <v>0</v>
      </c>
      <c r="H38" s="6">
        <f>MIN(Notes!$B$3,MAX(1,F38+G38))</f>
        <v>3</v>
      </c>
      <c r="I38" s="2">
        <f t="shared" si="1"/>
        <v>69</v>
      </c>
      <c r="J38" s="2">
        <f>MIN(E38+H38,Notes!$B$2)</f>
        <v>75</v>
      </c>
      <c r="K38" s="7"/>
    </row>
    <row r="39" spans="1:11" x14ac:dyDescent="0.25">
      <c r="A39" s="2">
        <f t="shared" si="0"/>
        <v>37</v>
      </c>
      <c r="B39" s="9" t="s">
        <v>55</v>
      </c>
      <c r="C39" s="9" t="s">
        <v>22</v>
      </c>
      <c r="D39" s="4">
        <v>29</v>
      </c>
      <c r="E39" s="5">
        <v>73</v>
      </c>
      <c r="F39" s="2">
        <f>IF(D39&lt;Notes!$B$6,Notes!$C$6,IF(D39&lt;Notes!$B$7,Notes!$C$7,IF(D39&lt;Notes!$B$8,Notes!$C$8,Notes!$C$9)))</f>
        <v>3</v>
      </c>
      <c r="G39" s="5">
        <v>0</v>
      </c>
      <c r="H39" s="6">
        <f>MIN(Notes!$B$3,MAX(1,F39+G39))</f>
        <v>3</v>
      </c>
      <c r="I39" s="2">
        <f t="shared" si="1"/>
        <v>70</v>
      </c>
      <c r="J39" s="2">
        <f>MIN(E39+H39,Notes!$B$2)</f>
        <v>76</v>
      </c>
      <c r="K39" s="7"/>
    </row>
    <row r="40" spans="1:11" x14ac:dyDescent="0.25">
      <c r="A40" s="2">
        <f t="shared" si="0"/>
        <v>37</v>
      </c>
      <c r="B40" s="9" t="s">
        <v>56</v>
      </c>
      <c r="C40" s="9" t="s">
        <v>22</v>
      </c>
      <c r="D40" s="4">
        <v>112</v>
      </c>
      <c r="E40" s="5">
        <v>73</v>
      </c>
      <c r="F40" s="2">
        <f>IF(D40&lt;Notes!$B$6,Notes!$C$6,IF(D40&lt;Notes!$B$7,Notes!$C$7,IF(D40&lt;Notes!$B$8,Notes!$C$8,Notes!$C$9)))</f>
        <v>2</v>
      </c>
      <c r="G40" s="5">
        <v>1</v>
      </c>
      <c r="H40" s="6">
        <f>MIN(Notes!$B$3,MAX(1,F40+G40))</f>
        <v>3</v>
      </c>
      <c r="I40" s="2">
        <f t="shared" si="1"/>
        <v>70</v>
      </c>
      <c r="J40" s="2">
        <f>MIN(E40+H40,Notes!$B$2)</f>
        <v>76</v>
      </c>
      <c r="K40" s="7" t="s">
        <v>23</v>
      </c>
    </row>
    <row r="41" spans="1:11" x14ac:dyDescent="0.25">
      <c r="A41" s="2">
        <f t="shared" si="0"/>
        <v>37</v>
      </c>
      <c r="B41" s="9" t="s">
        <v>57</v>
      </c>
      <c r="C41" s="9" t="s">
        <v>22</v>
      </c>
      <c r="D41" s="4">
        <v>34.4</v>
      </c>
      <c r="E41" s="5">
        <v>73</v>
      </c>
      <c r="F41" s="2">
        <f>IF(D41&lt;Notes!$B$6,Notes!$C$6,IF(D41&lt;Notes!$B$7,Notes!$C$7,IF(D41&lt;Notes!$B$8,Notes!$C$8,Notes!$C$9)))</f>
        <v>3</v>
      </c>
      <c r="G41" s="5">
        <v>0</v>
      </c>
      <c r="H41" s="6">
        <f>MIN(Notes!$B$3,MAX(1,F41+G41))</f>
        <v>3</v>
      </c>
      <c r="I41" s="2">
        <f t="shared" si="1"/>
        <v>70</v>
      </c>
      <c r="J41" s="2">
        <f>MIN(E41+H41,Notes!$B$2)</f>
        <v>76</v>
      </c>
      <c r="K41" s="7"/>
    </row>
    <row r="42" spans="1:11" x14ac:dyDescent="0.25">
      <c r="A42" s="2">
        <f t="shared" si="0"/>
        <v>37</v>
      </c>
      <c r="B42" s="9" t="s">
        <v>58</v>
      </c>
      <c r="C42" s="9" t="s">
        <v>22</v>
      </c>
      <c r="D42" s="4">
        <v>24.5</v>
      </c>
      <c r="E42" s="5">
        <v>73</v>
      </c>
      <c r="F42" s="2">
        <f>IF(D42&lt;Notes!$B$6,Notes!$C$6,IF(D42&lt;Notes!$B$7,Notes!$C$7,IF(D42&lt;Notes!$B$8,Notes!$C$8,Notes!$C$9)))</f>
        <v>3</v>
      </c>
      <c r="G42" s="5">
        <v>0</v>
      </c>
      <c r="H42" s="6">
        <f>MIN(Notes!$B$3,MAX(1,F42+G42))</f>
        <v>3</v>
      </c>
      <c r="I42" s="2">
        <f t="shared" si="1"/>
        <v>70</v>
      </c>
      <c r="J42" s="2">
        <f>MIN(E42+H42,Notes!$B$2)</f>
        <v>76</v>
      </c>
      <c r="K42" s="7"/>
    </row>
    <row r="43" spans="1:11" x14ac:dyDescent="0.25">
      <c r="A43" s="2">
        <f t="shared" si="0"/>
        <v>37</v>
      </c>
      <c r="B43" s="3" t="s">
        <v>59</v>
      </c>
      <c r="C43" s="3" t="s">
        <v>12</v>
      </c>
      <c r="D43" s="4">
        <v>10.9</v>
      </c>
      <c r="E43" s="5">
        <v>73</v>
      </c>
      <c r="F43" s="2">
        <f>IF(D43&lt;Notes!$B$6,Notes!$C$6,IF(D43&lt;Notes!$B$7,Notes!$C$7,IF(D43&lt;Notes!$B$8,Notes!$C$8,Notes!$C$9)))</f>
        <v>4</v>
      </c>
      <c r="G43" s="5">
        <v>0</v>
      </c>
      <c r="H43" s="6">
        <f>MIN(Notes!$B$3,MAX(1,F43+G43))</f>
        <v>4</v>
      </c>
      <c r="I43" s="2">
        <f t="shared" si="1"/>
        <v>69</v>
      </c>
      <c r="J43" s="2">
        <f>MIN(E43+H43,Notes!$B$2)</f>
        <v>77</v>
      </c>
      <c r="K43" s="7"/>
    </row>
    <row r="44" spans="1:11" x14ac:dyDescent="0.25">
      <c r="A44" s="2">
        <f t="shared" si="0"/>
        <v>37</v>
      </c>
      <c r="B44" s="3" t="s">
        <v>60</v>
      </c>
      <c r="C44" s="3" t="s">
        <v>12</v>
      </c>
      <c r="D44" s="4">
        <v>10.4</v>
      </c>
      <c r="E44" s="5">
        <v>73</v>
      </c>
      <c r="F44" s="2">
        <f>IF(D44&lt;Notes!$B$6,Notes!$C$6,IF(D44&lt;Notes!$B$7,Notes!$C$7,IF(D44&lt;Notes!$B$8,Notes!$C$8,Notes!$C$9)))</f>
        <v>4</v>
      </c>
      <c r="G44" s="5">
        <v>0</v>
      </c>
      <c r="H44" s="6">
        <f>MIN(Notes!$B$3,MAX(1,F44+G44))</f>
        <v>4</v>
      </c>
      <c r="I44" s="2">
        <f t="shared" si="1"/>
        <v>69</v>
      </c>
      <c r="J44" s="2">
        <f>MIN(E44+H44,Notes!$B$2)</f>
        <v>77</v>
      </c>
      <c r="K44" s="7"/>
    </row>
    <row r="45" spans="1:11" x14ac:dyDescent="0.25">
      <c r="A45" s="2">
        <f t="shared" si="0"/>
        <v>37</v>
      </c>
      <c r="B45" s="3" t="s">
        <v>61</v>
      </c>
      <c r="C45" s="3" t="s">
        <v>12</v>
      </c>
      <c r="D45" s="4">
        <v>9.6</v>
      </c>
      <c r="E45" s="5">
        <v>73</v>
      </c>
      <c r="F45" s="2">
        <f>IF(D45&lt;Notes!$B$6,Notes!$C$6,IF(D45&lt;Notes!$B$7,Notes!$C$7,IF(D45&lt;Notes!$B$8,Notes!$C$8,Notes!$C$9)))</f>
        <v>4</v>
      </c>
      <c r="G45" s="5">
        <v>0</v>
      </c>
      <c r="H45" s="6">
        <f>MIN(Notes!$B$3,MAX(1,F45+G45))</f>
        <v>4</v>
      </c>
      <c r="I45" s="2">
        <f t="shared" si="1"/>
        <v>69</v>
      </c>
      <c r="J45" s="2">
        <f>MIN(E45+H45,Notes!$B$2)</f>
        <v>77</v>
      </c>
      <c r="K45" s="7"/>
    </row>
    <row r="46" spans="1:11" x14ac:dyDescent="0.25">
      <c r="A46" s="2">
        <f t="shared" si="0"/>
        <v>37</v>
      </c>
      <c r="B46" s="3" t="s">
        <v>62</v>
      </c>
      <c r="C46" s="3" t="s">
        <v>12</v>
      </c>
      <c r="D46" s="4">
        <v>5.5</v>
      </c>
      <c r="E46" s="5">
        <v>73</v>
      </c>
      <c r="F46" s="2">
        <f>IF(D46&lt;Notes!$B$6,Notes!$C$6,IF(D46&lt;Notes!$B$7,Notes!$C$7,IF(D46&lt;Notes!$B$8,Notes!$C$8,Notes!$C$9)))</f>
        <v>4</v>
      </c>
      <c r="G46" s="5">
        <v>0</v>
      </c>
      <c r="H46" s="6">
        <f>MIN(Notes!$B$3,MAX(1,F46+G46))</f>
        <v>4</v>
      </c>
      <c r="I46" s="2">
        <f t="shared" si="1"/>
        <v>69</v>
      </c>
      <c r="J46" s="2">
        <f>MIN(E46+H46,Notes!$B$2)</f>
        <v>77</v>
      </c>
      <c r="K46" s="7"/>
    </row>
    <row r="47" spans="1:11" x14ac:dyDescent="0.25">
      <c r="A47" s="2">
        <f t="shared" si="0"/>
        <v>45</v>
      </c>
      <c r="B47" s="9" t="s">
        <v>63</v>
      </c>
      <c r="C47" s="9" t="s">
        <v>22</v>
      </c>
      <c r="D47" s="4">
        <v>12.3</v>
      </c>
      <c r="E47" s="5">
        <v>72</v>
      </c>
      <c r="F47" s="2">
        <f>IF(D47&lt;Notes!$B$6,Notes!$C$6,IF(D47&lt;Notes!$B$7,Notes!$C$7,IF(D47&lt;Notes!$B$8,Notes!$C$8,Notes!$C$9)))</f>
        <v>4</v>
      </c>
      <c r="G47" s="5">
        <v>0</v>
      </c>
      <c r="H47" s="6">
        <f>MIN(Notes!$B$3,MAX(1,F47+G47))</f>
        <v>4</v>
      </c>
      <c r="I47" s="2">
        <f t="shared" si="1"/>
        <v>68</v>
      </c>
      <c r="J47" s="2">
        <f>MIN(E47+H47,Notes!$B$2)</f>
        <v>76</v>
      </c>
      <c r="K47" s="7"/>
    </row>
    <row r="48" spans="1:11" x14ac:dyDescent="0.25">
      <c r="A48" s="2">
        <f t="shared" si="0"/>
        <v>45</v>
      </c>
      <c r="B48" s="3" t="s">
        <v>64</v>
      </c>
      <c r="C48" s="3" t="s">
        <v>12</v>
      </c>
      <c r="D48" s="4">
        <v>3.7</v>
      </c>
      <c r="E48" s="5">
        <v>72</v>
      </c>
      <c r="F48" s="2">
        <f>IF(D48&lt;Notes!$B$6,Notes!$C$6,IF(D48&lt;Notes!$B$7,Notes!$C$7,IF(D48&lt;Notes!$B$8,Notes!$C$8,Notes!$C$9)))</f>
        <v>5</v>
      </c>
      <c r="G48" s="5">
        <v>0</v>
      </c>
      <c r="H48" s="6">
        <f>MIN(Notes!$B$3,MAX(1,F48+G48))</f>
        <v>5</v>
      </c>
      <c r="I48" s="2">
        <f t="shared" si="1"/>
        <v>67</v>
      </c>
      <c r="J48" s="2">
        <f>MIN(E48+H48,Notes!$B$2)</f>
        <v>77</v>
      </c>
      <c r="K48" s="7"/>
    </row>
    <row r="49" spans="1:11" x14ac:dyDescent="0.25">
      <c r="A49" s="2">
        <f t="shared" si="0"/>
        <v>45</v>
      </c>
      <c r="B49" s="3" t="s">
        <v>65</v>
      </c>
      <c r="C49" s="3" t="s">
        <v>12</v>
      </c>
      <c r="D49" s="4">
        <v>144</v>
      </c>
      <c r="E49" s="5">
        <v>72</v>
      </c>
      <c r="F49" s="2">
        <f>IF(D49&lt;Notes!$B$6,Notes!$C$6,IF(D49&lt;Notes!$B$7,Notes!$C$7,IF(D49&lt;Notes!$B$8,Notes!$C$8,Notes!$C$9)))</f>
        <v>2</v>
      </c>
      <c r="G49" s="5">
        <v>0</v>
      </c>
      <c r="H49" s="6">
        <f>MIN(Notes!$B$3,MAX(1,F49+G49))</f>
        <v>2</v>
      </c>
      <c r="I49" s="2">
        <f t="shared" si="1"/>
        <v>70</v>
      </c>
      <c r="J49" s="2">
        <f>MIN(E49+H49,Notes!$B$2)</f>
        <v>74</v>
      </c>
      <c r="K49" s="7"/>
    </row>
    <row r="50" spans="1:11" x14ac:dyDescent="0.25">
      <c r="A50" s="2">
        <f t="shared" si="0"/>
        <v>49</v>
      </c>
      <c r="B50" s="9" t="s">
        <v>66</v>
      </c>
      <c r="C50" s="9" t="s">
        <v>22</v>
      </c>
      <c r="D50" s="4">
        <v>64</v>
      </c>
      <c r="E50" s="5">
        <v>71</v>
      </c>
      <c r="F50" s="2">
        <f>IF(D50&lt;Notes!$B$6,Notes!$C$6,IF(D50&lt;Notes!$B$7,Notes!$C$7,IF(D50&lt;Notes!$B$8,Notes!$C$8,Notes!$C$9)))</f>
        <v>2</v>
      </c>
      <c r="G50" s="5">
        <v>0</v>
      </c>
      <c r="H50" s="6">
        <f>MIN(Notes!$B$3,MAX(1,F50+G50))</f>
        <v>2</v>
      </c>
      <c r="I50" s="2">
        <f t="shared" si="1"/>
        <v>69</v>
      </c>
      <c r="J50" s="2">
        <f>MIN(E50+H50,Notes!$B$2)</f>
        <v>73</v>
      </c>
      <c r="K50" s="7"/>
    </row>
    <row r="51" spans="1:11" x14ac:dyDescent="0.25">
      <c r="A51" s="2">
        <f t="shared" si="0"/>
        <v>49</v>
      </c>
      <c r="B51" s="11" t="s">
        <v>67</v>
      </c>
      <c r="C51" s="11" t="s">
        <v>33</v>
      </c>
      <c r="D51" s="4">
        <v>4.5</v>
      </c>
      <c r="E51" s="5">
        <v>71</v>
      </c>
      <c r="F51" s="2">
        <f>IF(D51&lt;Notes!$B$6,Notes!$C$6,IF(D51&lt;Notes!$B$7,Notes!$C$7,IF(D51&lt;Notes!$B$8,Notes!$C$8,Notes!$C$9)))</f>
        <v>5</v>
      </c>
      <c r="G51" s="5">
        <v>0</v>
      </c>
      <c r="H51" s="6">
        <f>MIN(Notes!$B$3,MAX(1,F51+G51))</f>
        <v>5</v>
      </c>
      <c r="I51" s="2">
        <f t="shared" si="1"/>
        <v>66</v>
      </c>
      <c r="J51" s="2">
        <f>MIN(E51+H51,Notes!$B$2)</f>
        <v>76</v>
      </c>
      <c r="K51" s="7"/>
    </row>
    <row r="52" spans="1:11" x14ac:dyDescent="0.25">
      <c r="A52" s="2">
        <f t="shared" si="0"/>
        <v>49</v>
      </c>
      <c r="B52" s="8" t="s">
        <v>68</v>
      </c>
      <c r="C52" s="8" t="s">
        <v>15</v>
      </c>
      <c r="D52" s="4">
        <v>28</v>
      </c>
      <c r="E52" s="5">
        <v>71</v>
      </c>
      <c r="F52" s="2">
        <f>IF(D52&lt;Notes!$B$6,Notes!$C$6,IF(D52&lt;Notes!$B$7,Notes!$C$7,IF(D52&lt;Notes!$B$8,Notes!$C$8,Notes!$C$9)))</f>
        <v>3</v>
      </c>
      <c r="G52" s="5">
        <v>0</v>
      </c>
      <c r="H52" s="6">
        <f>MIN(Notes!$B$3,MAX(1,F52+G52))</f>
        <v>3</v>
      </c>
      <c r="I52" s="2">
        <f t="shared" si="1"/>
        <v>68</v>
      </c>
      <c r="J52" s="2">
        <f>MIN(E52+H52,Notes!$B$2)</f>
        <v>74</v>
      </c>
      <c r="K52" s="7"/>
    </row>
    <row r="53" spans="1:11" x14ac:dyDescent="0.25">
      <c r="A53" s="2">
        <f t="shared" si="0"/>
        <v>49</v>
      </c>
      <c r="B53" s="3" t="s">
        <v>69</v>
      </c>
      <c r="C53" s="3" t="s">
        <v>12</v>
      </c>
      <c r="D53" s="4">
        <v>5.4</v>
      </c>
      <c r="E53" s="5">
        <v>71</v>
      </c>
      <c r="F53" s="2">
        <f>IF(D53&lt;Notes!$B$6,Notes!$C$6,IF(D53&lt;Notes!$B$7,Notes!$C$7,IF(D53&lt;Notes!$B$8,Notes!$C$8,Notes!$C$9)))</f>
        <v>4</v>
      </c>
      <c r="G53" s="5">
        <v>0</v>
      </c>
      <c r="H53" s="6">
        <f>MIN(Notes!$B$3,MAX(1,F53+G53))</f>
        <v>4</v>
      </c>
      <c r="I53" s="2">
        <f t="shared" si="1"/>
        <v>67</v>
      </c>
      <c r="J53" s="2">
        <f>MIN(E53+H53,Notes!$B$2)</f>
        <v>75</v>
      </c>
      <c r="K53" s="7"/>
    </row>
    <row r="54" spans="1:11" x14ac:dyDescent="0.25">
      <c r="A54" s="2">
        <f t="shared" si="0"/>
        <v>49</v>
      </c>
      <c r="B54" s="3" t="s">
        <v>70</v>
      </c>
      <c r="C54" s="3" t="s">
        <v>12</v>
      </c>
      <c r="D54" s="4">
        <v>19</v>
      </c>
      <c r="E54" s="5">
        <v>71</v>
      </c>
      <c r="F54" s="2">
        <f>IF(D54&lt;Notes!$B$6,Notes!$C$6,IF(D54&lt;Notes!$B$7,Notes!$C$7,IF(D54&lt;Notes!$B$8,Notes!$C$8,Notes!$C$9)))</f>
        <v>3</v>
      </c>
      <c r="G54" s="5">
        <v>0</v>
      </c>
      <c r="H54" s="6">
        <f>MIN(Notes!$B$3,MAX(1,F54+G54))</f>
        <v>3</v>
      </c>
      <c r="I54" s="2">
        <f t="shared" si="1"/>
        <v>68</v>
      </c>
      <c r="J54" s="2">
        <f>MIN(E54+H54,Notes!$B$2)</f>
        <v>74</v>
      </c>
      <c r="K54" s="7"/>
    </row>
    <row r="55" spans="1:11" x14ac:dyDescent="0.25">
      <c r="A55" s="2">
        <f t="shared" si="0"/>
        <v>49</v>
      </c>
      <c r="B55" s="3" t="s">
        <v>71</v>
      </c>
      <c r="C55" s="3" t="s">
        <v>12</v>
      </c>
      <c r="D55" s="4">
        <v>5.4</v>
      </c>
      <c r="E55" s="5">
        <v>71</v>
      </c>
      <c r="F55" s="2">
        <f>IF(D55&lt;Notes!$B$6,Notes!$C$6,IF(D55&lt;Notes!$B$7,Notes!$C$7,IF(D55&lt;Notes!$B$8,Notes!$C$8,Notes!$C$9)))</f>
        <v>4</v>
      </c>
      <c r="G55" s="5">
        <v>0</v>
      </c>
      <c r="H55" s="6">
        <f>MIN(Notes!$B$3,MAX(1,F55+G55))</f>
        <v>4</v>
      </c>
      <c r="I55" s="2">
        <f t="shared" si="1"/>
        <v>67</v>
      </c>
      <c r="J55" s="2">
        <f>MIN(E55+H55,Notes!$B$2)</f>
        <v>75</v>
      </c>
      <c r="K55" s="7"/>
    </row>
    <row r="56" spans="1:11" x14ac:dyDescent="0.25">
      <c r="A56" s="2">
        <f t="shared" si="0"/>
        <v>49</v>
      </c>
      <c r="B56" s="3" t="s">
        <v>72</v>
      </c>
      <c r="C56" s="3" t="s">
        <v>12</v>
      </c>
      <c r="D56" s="4">
        <v>2.1</v>
      </c>
      <c r="E56" s="5">
        <v>71</v>
      </c>
      <c r="F56" s="2">
        <f>IF(D56&lt;Notes!$B$6,Notes!$C$6,IF(D56&lt;Notes!$B$7,Notes!$C$7,IF(D56&lt;Notes!$B$8,Notes!$C$8,Notes!$C$9)))</f>
        <v>5</v>
      </c>
      <c r="G56" s="5">
        <v>0</v>
      </c>
      <c r="H56" s="6">
        <f>MIN(Notes!$B$3,MAX(1,F56+G56))</f>
        <v>5</v>
      </c>
      <c r="I56" s="2">
        <f t="shared" si="1"/>
        <v>66</v>
      </c>
      <c r="J56" s="2">
        <f>MIN(E56+H56,Notes!$B$2)</f>
        <v>76</v>
      </c>
      <c r="K56" s="7"/>
    </row>
    <row r="57" spans="1:11" x14ac:dyDescent="0.25">
      <c r="A57" s="2">
        <f t="shared" si="0"/>
        <v>49</v>
      </c>
      <c r="B57" s="3" t="s">
        <v>73</v>
      </c>
      <c r="C57" s="3" t="s">
        <v>12</v>
      </c>
      <c r="D57" s="4">
        <v>3.2</v>
      </c>
      <c r="E57" s="5">
        <v>71</v>
      </c>
      <c r="F57" s="2">
        <f>IF(D57&lt;Notes!$B$6,Notes!$C$6,IF(D57&lt;Notes!$B$7,Notes!$C$7,IF(D57&lt;Notes!$B$8,Notes!$C$8,Notes!$C$9)))</f>
        <v>5</v>
      </c>
      <c r="G57" s="5">
        <v>0</v>
      </c>
      <c r="H57" s="6">
        <f>MIN(Notes!$B$3,MAX(1,F57+G57))</f>
        <v>5</v>
      </c>
      <c r="I57" s="2">
        <f t="shared" si="1"/>
        <v>66</v>
      </c>
      <c r="J57" s="2">
        <f>MIN(E57+H57,Notes!$B$2)</f>
        <v>76</v>
      </c>
      <c r="K57" s="7"/>
    </row>
    <row r="58" spans="1:11" x14ac:dyDescent="0.25">
      <c r="A58" s="2">
        <f t="shared" si="0"/>
        <v>68</v>
      </c>
      <c r="B58" s="10" t="s">
        <v>74</v>
      </c>
      <c r="C58" s="10" t="s">
        <v>30</v>
      </c>
      <c r="D58" s="4">
        <v>35</v>
      </c>
      <c r="E58" s="5">
        <v>68</v>
      </c>
      <c r="F58" s="2">
        <f>IF(D58&lt;Notes!$B$6,Notes!$C$6,IF(D58&lt;Notes!$B$7,Notes!$C$7,IF(D58&lt;Notes!$B$8,Notes!$C$8,Notes!$C$9)))</f>
        <v>3</v>
      </c>
      <c r="G58" s="5">
        <v>1</v>
      </c>
      <c r="H58" s="6">
        <f>MIN(Notes!$B$3,MAX(1,F58+G58))</f>
        <v>4</v>
      </c>
      <c r="I58" s="2">
        <f t="shared" si="1"/>
        <v>64</v>
      </c>
      <c r="J58" s="2">
        <f>MIN(E58+H58,Notes!$B$2)</f>
        <v>72</v>
      </c>
      <c r="K58" s="7" t="s">
        <v>37</v>
      </c>
    </row>
    <row r="59" spans="1:11" x14ac:dyDescent="0.25">
      <c r="A59" s="2">
        <f t="shared" si="0"/>
        <v>68</v>
      </c>
      <c r="B59" s="10" t="s">
        <v>75</v>
      </c>
      <c r="C59" s="10" t="s">
        <v>30</v>
      </c>
      <c r="D59" s="4">
        <v>37</v>
      </c>
      <c r="E59" s="5">
        <v>68</v>
      </c>
      <c r="F59" s="2">
        <f>IF(D59&lt;Notes!$B$6,Notes!$C$6,IF(D59&lt;Notes!$B$7,Notes!$C$7,IF(D59&lt;Notes!$B$8,Notes!$C$8,Notes!$C$9)))</f>
        <v>3</v>
      </c>
      <c r="G59" s="5">
        <v>1</v>
      </c>
      <c r="H59" s="6">
        <f>MIN(Notes!$B$3,MAX(1,F59+G59))</f>
        <v>4</v>
      </c>
      <c r="I59" s="2">
        <f t="shared" si="1"/>
        <v>64</v>
      </c>
      <c r="J59" s="2">
        <f>MIN(E59+H59,Notes!$B$2)</f>
        <v>72</v>
      </c>
      <c r="K59" s="7" t="s">
        <v>37</v>
      </c>
    </row>
    <row r="60" spans="1:11" x14ac:dyDescent="0.25">
      <c r="A60" s="2">
        <f t="shared" si="0"/>
        <v>57</v>
      </c>
      <c r="B60" s="9" t="s">
        <v>76</v>
      </c>
      <c r="C60" s="9" t="s">
        <v>22</v>
      </c>
      <c r="D60" s="4">
        <v>23.5</v>
      </c>
      <c r="E60" s="5">
        <v>70</v>
      </c>
      <c r="F60" s="2">
        <f>IF(D60&lt;Notes!$B$6,Notes!$C$6,IF(D60&lt;Notes!$B$7,Notes!$C$7,IF(D60&lt;Notes!$B$8,Notes!$C$8,Notes!$C$9)))</f>
        <v>3</v>
      </c>
      <c r="G60" s="5">
        <v>0</v>
      </c>
      <c r="H60" s="6">
        <f>MIN(Notes!$B$3,MAX(1,F60+G60))</f>
        <v>3</v>
      </c>
      <c r="I60" s="2">
        <f t="shared" si="1"/>
        <v>67</v>
      </c>
      <c r="J60" s="2">
        <f>MIN(E60+H60,Notes!$B$2)</f>
        <v>73</v>
      </c>
      <c r="K60" s="7"/>
    </row>
    <row r="61" spans="1:11" x14ac:dyDescent="0.25">
      <c r="A61" s="2">
        <f t="shared" si="0"/>
        <v>63</v>
      </c>
      <c r="B61" s="9" t="s">
        <v>77</v>
      </c>
      <c r="C61" s="9" t="s">
        <v>22</v>
      </c>
      <c r="D61" s="4">
        <v>0.53</v>
      </c>
      <c r="E61" s="5">
        <v>69</v>
      </c>
      <c r="F61" s="2">
        <f>IF(D61&lt;Notes!$B$6,Notes!$C$6,IF(D61&lt;Notes!$B$7,Notes!$C$7,IF(D61&lt;Notes!$B$8,Notes!$C$8,Notes!$C$9)))</f>
        <v>5</v>
      </c>
      <c r="G61" s="5">
        <v>0</v>
      </c>
      <c r="H61" s="6">
        <f>MIN(Notes!$B$3,MAX(1,F61+G61))</f>
        <v>5</v>
      </c>
      <c r="I61" s="2">
        <f t="shared" si="1"/>
        <v>64</v>
      </c>
      <c r="J61" s="2">
        <f>MIN(E61+H61,Notes!$B$2)</f>
        <v>74</v>
      </c>
      <c r="K61" s="7"/>
    </row>
    <row r="62" spans="1:11" x14ac:dyDescent="0.25">
      <c r="A62" s="2">
        <f t="shared" si="0"/>
        <v>57</v>
      </c>
      <c r="B62" s="8" t="s">
        <v>78</v>
      </c>
      <c r="C62" s="8" t="s">
        <v>15</v>
      </c>
      <c r="D62" s="4">
        <v>19.8</v>
      </c>
      <c r="E62" s="5">
        <v>70</v>
      </c>
      <c r="F62" s="2">
        <f>IF(D62&lt;Notes!$B$6,Notes!$C$6,IF(D62&lt;Notes!$B$7,Notes!$C$7,IF(D62&lt;Notes!$B$8,Notes!$C$8,Notes!$C$9)))</f>
        <v>3</v>
      </c>
      <c r="G62" s="5">
        <v>0</v>
      </c>
      <c r="H62" s="6">
        <f>MIN(Notes!$B$3,MAX(1,F62+G62))</f>
        <v>3</v>
      </c>
      <c r="I62" s="2">
        <f t="shared" si="1"/>
        <v>67</v>
      </c>
      <c r="J62" s="2">
        <f>MIN(E62+H62,Notes!$B$2)</f>
        <v>73</v>
      </c>
      <c r="K62" s="7"/>
    </row>
    <row r="63" spans="1:11" x14ac:dyDescent="0.25">
      <c r="A63" s="2">
        <f t="shared" si="0"/>
        <v>63</v>
      </c>
      <c r="B63" s="8" t="s">
        <v>79</v>
      </c>
      <c r="C63" s="8" t="s">
        <v>15</v>
      </c>
      <c r="D63" s="4">
        <v>34</v>
      </c>
      <c r="E63" s="5">
        <v>69</v>
      </c>
      <c r="F63" s="2">
        <f>IF(D63&lt;Notes!$B$6,Notes!$C$6,IF(D63&lt;Notes!$B$7,Notes!$C$7,IF(D63&lt;Notes!$B$8,Notes!$C$8,Notes!$C$9)))</f>
        <v>3</v>
      </c>
      <c r="G63" s="5">
        <v>0</v>
      </c>
      <c r="H63" s="6">
        <f>MIN(Notes!$B$3,MAX(1,F63+G63))</f>
        <v>3</v>
      </c>
      <c r="I63" s="2">
        <f t="shared" si="1"/>
        <v>66</v>
      </c>
      <c r="J63" s="2">
        <f>MIN(E63+H63,Notes!$B$2)</f>
        <v>72</v>
      </c>
      <c r="K63" s="7"/>
    </row>
    <row r="64" spans="1:11" x14ac:dyDescent="0.25">
      <c r="A64" s="2">
        <f t="shared" si="0"/>
        <v>63</v>
      </c>
      <c r="B64" s="3" t="s">
        <v>80</v>
      </c>
      <c r="C64" s="3" t="s">
        <v>12</v>
      </c>
      <c r="D64" s="4">
        <v>2.4</v>
      </c>
      <c r="E64" s="5">
        <v>69</v>
      </c>
      <c r="F64" s="2">
        <f>IF(D64&lt;Notes!$B$6,Notes!$C$6,IF(D64&lt;Notes!$B$7,Notes!$C$7,IF(D64&lt;Notes!$B$8,Notes!$C$8,Notes!$C$9)))</f>
        <v>5</v>
      </c>
      <c r="G64" s="5">
        <v>0</v>
      </c>
      <c r="H64" s="6">
        <f>MIN(Notes!$B$3,MAX(1,F64+G64))</f>
        <v>5</v>
      </c>
      <c r="I64" s="2">
        <f t="shared" si="1"/>
        <v>64</v>
      </c>
      <c r="J64" s="2">
        <f>MIN(E64+H64,Notes!$B$2)</f>
        <v>74</v>
      </c>
      <c r="K64" s="7"/>
    </row>
    <row r="65" spans="1:11" x14ac:dyDescent="0.25">
      <c r="A65" s="2">
        <f t="shared" si="0"/>
        <v>68</v>
      </c>
      <c r="B65" s="10" t="s">
        <v>81</v>
      </c>
      <c r="C65" s="10" t="s">
        <v>30</v>
      </c>
      <c r="D65" s="4">
        <v>46</v>
      </c>
      <c r="E65" s="5">
        <v>68</v>
      </c>
      <c r="F65" s="2">
        <f>IF(D65&lt;Notes!$B$6,Notes!$C$6,IF(D65&lt;Notes!$B$7,Notes!$C$7,IF(D65&lt;Notes!$B$8,Notes!$C$8,Notes!$C$9)))</f>
        <v>2</v>
      </c>
      <c r="G65" s="5">
        <v>0</v>
      </c>
      <c r="H65" s="6">
        <f>MIN(Notes!$B$3,MAX(1,F65+G65))</f>
        <v>2</v>
      </c>
      <c r="I65" s="2">
        <f t="shared" si="1"/>
        <v>66</v>
      </c>
      <c r="J65" s="2">
        <f>MIN(E65+H65,Notes!$B$2)</f>
        <v>70</v>
      </c>
      <c r="K65" s="7"/>
    </row>
    <row r="66" spans="1:11" x14ac:dyDescent="0.25">
      <c r="A66" s="2">
        <f t="shared" ref="A66:A129" si="2">RANK(E66,$E$2:$E$212,0)</f>
        <v>71</v>
      </c>
      <c r="B66" s="10" t="s">
        <v>82</v>
      </c>
      <c r="C66" s="10" t="s">
        <v>30</v>
      </c>
      <c r="D66" s="4">
        <v>11.5</v>
      </c>
      <c r="E66" s="5">
        <v>67</v>
      </c>
      <c r="F66" s="2">
        <f>IF(D66&lt;Notes!$B$6,Notes!$C$6,IF(D66&lt;Notes!$B$7,Notes!$C$7,IF(D66&lt;Notes!$B$8,Notes!$C$8,Notes!$C$9)))</f>
        <v>4</v>
      </c>
      <c r="G66" s="5">
        <v>0</v>
      </c>
      <c r="H66" s="6">
        <f>MIN(Notes!$B$3,MAX(1,F66+G66))</f>
        <v>4</v>
      </c>
      <c r="I66" s="2">
        <f t="shared" ref="I66:I129" si="3">E66-H66</f>
        <v>63</v>
      </c>
      <c r="J66" s="2">
        <f>MIN(E66+H66,Notes!$B$2)</f>
        <v>71</v>
      </c>
      <c r="K66" s="7"/>
    </row>
    <row r="67" spans="1:11" x14ac:dyDescent="0.25">
      <c r="A67" s="2">
        <f t="shared" si="2"/>
        <v>71</v>
      </c>
      <c r="B67" s="10" t="s">
        <v>83</v>
      </c>
      <c r="C67" s="10" t="s">
        <v>30</v>
      </c>
      <c r="D67" s="4">
        <v>3</v>
      </c>
      <c r="E67" s="5">
        <v>67</v>
      </c>
      <c r="F67" s="2">
        <f>IF(D67&lt;Notes!$B$6,Notes!$C$6,IF(D67&lt;Notes!$B$7,Notes!$C$7,IF(D67&lt;Notes!$B$8,Notes!$C$8,Notes!$C$9)))</f>
        <v>5</v>
      </c>
      <c r="G67" s="5">
        <v>0</v>
      </c>
      <c r="H67" s="6">
        <f>MIN(Notes!$B$3,MAX(1,F67+G67))</f>
        <v>5</v>
      </c>
      <c r="I67" s="2">
        <f t="shared" si="3"/>
        <v>62</v>
      </c>
      <c r="J67" s="2">
        <f>MIN(E67+H67,Notes!$B$2)</f>
        <v>72</v>
      </c>
      <c r="K67" s="7"/>
    </row>
    <row r="68" spans="1:11" x14ac:dyDescent="0.25">
      <c r="A68" s="2">
        <f t="shared" si="2"/>
        <v>57</v>
      </c>
      <c r="B68" s="11" t="s">
        <v>84</v>
      </c>
      <c r="C68" s="11" t="s">
        <v>33</v>
      </c>
      <c r="D68" s="4">
        <v>5.2</v>
      </c>
      <c r="E68" s="5">
        <v>70</v>
      </c>
      <c r="F68" s="2">
        <f>IF(D68&lt;Notes!$B$6,Notes!$C$6,IF(D68&lt;Notes!$B$7,Notes!$C$7,IF(D68&lt;Notes!$B$8,Notes!$C$8,Notes!$C$9)))</f>
        <v>4</v>
      </c>
      <c r="G68" s="5">
        <v>0</v>
      </c>
      <c r="H68" s="6">
        <f>MIN(Notes!$B$3,MAX(1,F68+G68))</f>
        <v>4</v>
      </c>
      <c r="I68" s="2">
        <f t="shared" si="3"/>
        <v>66</v>
      </c>
      <c r="J68" s="2">
        <f>MIN(E68+H68,Notes!$B$2)</f>
        <v>74</v>
      </c>
      <c r="K68" s="7"/>
    </row>
    <row r="69" spans="1:11" x14ac:dyDescent="0.25">
      <c r="A69" s="2">
        <f t="shared" si="2"/>
        <v>57</v>
      </c>
      <c r="B69" s="3" t="s">
        <v>85</v>
      </c>
      <c r="C69" s="3" t="s">
        <v>12</v>
      </c>
      <c r="D69" s="4">
        <v>3.2</v>
      </c>
      <c r="E69" s="5">
        <v>70</v>
      </c>
      <c r="F69" s="2">
        <f>IF(D69&lt;Notes!$B$6,Notes!$C$6,IF(D69&lt;Notes!$B$7,Notes!$C$7,IF(D69&lt;Notes!$B$8,Notes!$C$8,Notes!$C$9)))</f>
        <v>5</v>
      </c>
      <c r="G69" s="5">
        <v>0</v>
      </c>
      <c r="H69" s="6">
        <f>MIN(Notes!$B$3,MAX(1,F69+G69))</f>
        <v>5</v>
      </c>
      <c r="I69" s="2">
        <f t="shared" si="3"/>
        <v>65</v>
      </c>
      <c r="J69" s="2">
        <f>MIN(E69+H69,Notes!$B$2)</f>
        <v>75</v>
      </c>
      <c r="K69" s="7"/>
    </row>
    <row r="70" spans="1:11" x14ac:dyDescent="0.25">
      <c r="A70" s="2">
        <f t="shared" si="2"/>
        <v>57</v>
      </c>
      <c r="B70" s="9" t="s">
        <v>86</v>
      </c>
      <c r="C70" s="9" t="s">
        <v>22</v>
      </c>
      <c r="D70" s="4">
        <v>14.5</v>
      </c>
      <c r="E70" s="5">
        <v>70</v>
      </c>
      <c r="F70" s="2">
        <f>IF(D70&lt;Notes!$B$6,Notes!$C$6,IF(D70&lt;Notes!$B$7,Notes!$C$7,IF(D70&lt;Notes!$B$8,Notes!$C$8,Notes!$C$9)))</f>
        <v>4</v>
      </c>
      <c r="G70" s="5">
        <v>0</v>
      </c>
      <c r="H70" s="6">
        <f>MIN(Notes!$B$3,MAX(1,F70+G70))</f>
        <v>4</v>
      </c>
      <c r="I70" s="2">
        <f t="shared" si="3"/>
        <v>66</v>
      </c>
      <c r="J70" s="2">
        <f>MIN(E70+H70,Notes!$B$2)</f>
        <v>74</v>
      </c>
      <c r="K70" s="7"/>
    </row>
    <row r="71" spans="1:11" x14ac:dyDescent="0.25">
      <c r="A71" s="2">
        <f t="shared" si="2"/>
        <v>63</v>
      </c>
      <c r="B71" s="3" t="s">
        <v>87</v>
      </c>
      <c r="C71" s="3" t="s">
        <v>12</v>
      </c>
      <c r="D71" s="4">
        <v>0.39</v>
      </c>
      <c r="E71" s="5">
        <v>69</v>
      </c>
      <c r="F71" s="2">
        <f>IF(D71&lt;Notes!$B$6,Notes!$C$6,IF(D71&lt;Notes!$B$7,Notes!$C$7,IF(D71&lt;Notes!$B$8,Notes!$C$8,Notes!$C$9)))</f>
        <v>5</v>
      </c>
      <c r="G71" s="5">
        <v>0</v>
      </c>
      <c r="H71" s="6">
        <f>MIN(Notes!$B$3,MAX(1,F71+G71))</f>
        <v>5</v>
      </c>
      <c r="I71" s="2">
        <f t="shared" si="3"/>
        <v>64</v>
      </c>
      <c r="J71" s="2">
        <f>MIN(E71+H71,Notes!$B$2)</f>
        <v>74</v>
      </c>
      <c r="K71" s="7"/>
    </row>
    <row r="72" spans="1:11" x14ac:dyDescent="0.25">
      <c r="A72" s="2">
        <f t="shared" si="2"/>
        <v>71</v>
      </c>
      <c r="B72" s="3" t="s">
        <v>88</v>
      </c>
      <c r="C72" s="3" t="s">
        <v>12</v>
      </c>
      <c r="D72" s="4">
        <v>9.9</v>
      </c>
      <c r="E72" s="5">
        <v>67</v>
      </c>
      <c r="F72" s="2">
        <f>IF(D72&lt;Notes!$B$6,Notes!$C$6,IF(D72&lt;Notes!$B$7,Notes!$C$7,IF(D72&lt;Notes!$B$8,Notes!$C$8,Notes!$C$9)))</f>
        <v>4</v>
      </c>
      <c r="G72" s="5">
        <v>0</v>
      </c>
      <c r="H72" s="6">
        <f>MIN(Notes!$B$3,MAX(1,F72+G72))</f>
        <v>4</v>
      </c>
      <c r="I72" s="2">
        <f t="shared" si="3"/>
        <v>63</v>
      </c>
      <c r="J72" s="2">
        <f>MIN(E72+H72,Notes!$B$2)</f>
        <v>71</v>
      </c>
      <c r="K72" s="7"/>
    </row>
    <row r="73" spans="1:11" x14ac:dyDescent="0.25">
      <c r="A73" s="2">
        <f t="shared" si="2"/>
        <v>57</v>
      </c>
      <c r="B73" s="3" t="s">
        <v>89</v>
      </c>
      <c r="C73" s="3" t="s">
        <v>12</v>
      </c>
      <c r="D73" s="4">
        <v>1.6</v>
      </c>
      <c r="E73" s="5">
        <v>70</v>
      </c>
      <c r="F73" s="2">
        <f>IF(D73&lt;Notes!$B$6,Notes!$C$6,IF(D73&lt;Notes!$B$7,Notes!$C$7,IF(D73&lt;Notes!$B$8,Notes!$C$8,Notes!$C$9)))</f>
        <v>5</v>
      </c>
      <c r="G73" s="5">
        <v>0</v>
      </c>
      <c r="H73" s="6">
        <f>MIN(Notes!$B$3,MAX(1,F73+G73))</f>
        <v>5</v>
      </c>
      <c r="I73" s="2">
        <f t="shared" si="3"/>
        <v>65</v>
      </c>
      <c r="J73" s="2">
        <f>MIN(E73+H73,Notes!$B$2)</f>
        <v>75</v>
      </c>
      <c r="K73" s="7"/>
    </row>
    <row r="74" spans="1:11" x14ac:dyDescent="0.25">
      <c r="A74" s="2">
        <f t="shared" si="2"/>
        <v>71</v>
      </c>
      <c r="B74" s="3" t="s">
        <v>90</v>
      </c>
      <c r="C74" s="3" t="s">
        <v>12</v>
      </c>
      <c r="D74" s="4">
        <v>1.9</v>
      </c>
      <c r="E74" s="5">
        <v>67</v>
      </c>
      <c r="F74" s="2">
        <f>IF(D74&lt;Notes!$B$6,Notes!$C$6,IF(D74&lt;Notes!$B$7,Notes!$C$7,IF(D74&lt;Notes!$B$8,Notes!$C$8,Notes!$C$9)))</f>
        <v>5</v>
      </c>
      <c r="G74" s="5">
        <v>0</v>
      </c>
      <c r="H74" s="6">
        <f>MIN(Notes!$B$3,MAX(1,F74+G74))</f>
        <v>5</v>
      </c>
      <c r="I74" s="2">
        <f t="shared" si="3"/>
        <v>62</v>
      </c>
      <c r="J74" s="2">
        <f>MIN(E74+H74,Notes!$B$2)</f>
        <v>72</v>
      </c>
      <c r="K74" s="7"/>
    </row>
    <row r="75" spans="1:11" x14ac:dyDescent="0.25">
      <c r="A75" s="2">
        <f t="shared" si="2"/>
        <v>95</v>
      </c>
      <c r="B75" s="10" t="s">
        <v>91</v>
      </c>
      <c r="C75" s="10" t="s">
        <v>30</v>
      </c>
      <c r="D75" s="4">
        <v>10.199999999999999</v>
      </c>
      <c r="E75" s="5">
        <v>60</v>
      </c>
      <c r="F75" s="2">
        <f>IF(D75&lt;Notes!$B$6,Notes!$C$6,IF(D75&lt;Notes!$B$7,Notes!$C$7,IF(D75&lt;Notes!$B$8,Notes!$C$8,Notes!$C$9)))</f>
        <v>4</v>
      </c>
      <c r="G75" s="5">
        <v>0</v>
      </c>
      <c r="H75" s="6">
        <f>MIN(Notes!$B$3,MAX(1,F75+G75))</f>
        <v>4</v>
      </c>
      <c r="I75" s="2">
        <f t="shared" si="3"/>
        <v>56</v>
      </c>
      <c r="J75" s="2">
        <f>MIN(E75+H75,Notes!$B$2)</f>
        <v>64</v>
      </c>
      <c r="K75" s="7"/>
    </row>
    <row r="76" spans="1:11" x14ac:dyDescent="0.25">
      <c r="A76" s="2">
        <f t="shared" si="2"/>
        <v>81</v>
      </c>
      <c r="B76" s="9" t="s">
        <v>92</v>
      </c>
      <c r="C76" s="9" t="s">
        <v>22</v>
      </c>
      <c r="D76" s="4">
        <v>2.5</v>
      </c>
      <c r="E76" s="5">
        <v>65</v>
      </c>
      <c r="F76" s="2">
        <f>IF(D76&lt;Notes!$B$6,Notes!$C$6,IF(D76&lt;Notes!$B$7,Notes!$C$7,IF(D76&lt;Notes!$B$8,Notes!$C$8,Notes!$C$9)))</f>
        <v>5</v>
      </c>
      <c r="G76" s="5">
        <v>0</v>
      </c>
      <c r="H76" s="6">
        <f>MIN(Notes!$B$3,MAX(1,F76+G76))</f>
        <v>5</v>
      </c>
      <c r="I76" s="2">
        <f t="shared" si="3"/>
        <v>60</v>
      </c>
      <c r="J76" s="2">
        <f>MIN(E76+H76,Notes!$B$2)</f>
        <v>70</v>
      </c>
      <c r="K76" s="7"/>
    </row>
    <row r="77" spans="1:11" x14ac:dyDescent="0.25">
      <c r="A77" s="2">
        <f t="shared" si="2"/>
        <v>85</v>
      </c>
      <c r="B77" s="11" t="s">
        <v>93</v>
      </c>
      <c r="C77" s="11" t="s">
        <v>33</v>
      </c>
      <c r="D77" s="4">
        <v>2.8</v>
      </c>
      <c r="E77" s="5">
        <v>64</v>
      </c>
      <c r="F77" s="2">
        <f>IF(D77&lt;Notes!$B$6,Notes!$C$6,IF(D77&lt;Notes!$B$7,Notes!$C$7,IF(D77&lt;Notes!$B$8,Notes!$C$8,Notes!$C$9)))</f>
        <v>5</v>
      </c>
      <c r="G77" s="5">
        <v>0</v>
      </c>
      <c r="H77" s="6">
        <f>MIN(Notes!$B$3,MAX(1,F77+G77))</f>
        <v>5</v>
      </c>
      <c r="I77" s="2">
        <f t="shared" si="3"/>
        <v>59</v>
      </c>
      <c r="J77" s="2">
        <f>MIN(E77+H77,Notes!$B$2)</f>
        <v>69</v>
      </c>
      <c r="K77" s="7"/>
    </row>
    <row r="78" spans="1:11" x14ac:dyDescent="0.25">
      <c r="A78" s="2">
        <f t="shared" si="2"/>
        <v>81</v>
      </c>
      <c r="B78" s="12" t="s">
        <v>94</v>
      </c>
      <c r="C78" s="12" t="s">
        <v>95</v>
      </c>
      <c r="D78" s="4">
        <v>5.3</v>
      </c>
      <c r="E78" s="5">
        <v>65</v>
      </c>
      <c r="F78" s="2">
        <f>IF(D78&lt;Notes!$B$6,Notes!$C$6,IF(D78&lt;Notes!$B$7,Notes!$C$7,IF(D78&lt;Notes!$B$8,Notes!$C$8,Notes!$C$9)))</f>
        <v>4</v>
      </c>
      <c r="G78" s="5">
        <v>0</v>
      </c>
      <c r="H78" s="6">
        <f>MIN(Notes!$B$3,MAX(1,F78+G78))</f>
        <v>4</v>
      </c>
      <c r="I78" s="2">
        <f t="shared" si="3"/>
        <v>61</v>
      </c>
      <c r="J78" s="2">
        <f>MIN(E78+H78,Notes!$B$2)</f>
        <v>69</v>
      </c>
      <c r="K78" s="7"/>
    </row>
    <row r="79" spans="1:11" x14ac:dyDescent="0.25">
      <c r="A79" s="2">
        <f t="shared" si="2"/>
        <v>71</v>
      </c>
      <c r="B79" s="3" t="s">
        <v>96</v>
      </c>
      <c r="C79" s="3" t="s">
        <v>12</v>
      </c>
      <c r="D79" s="4">
        <v>5.6</v>
      </c>
      <c r="E79" s="5">
        <v>67</v>
      </c>
      <c r="F79" s="2">
        <f>IF(D79&lt;Notes!$B$6,Notes!$C$6,IF(D79&lt;Notes!$B$7,Notes!$C$7,IF(D79&lt;Notes!$B$8,Notes!$C$8,Notes!$C$9)))</f>
        <v>4</v>
      </c>
      <c r="G79" s="5">
        <v>0</v>
      </c>
      <c r="H79" s="6">
        <f>MIN(Notes!$B$3,MAX(1,F79+G79))</f>
        <v>4</v>
      </c>
      <c r="I79" s="2">
        <f t="shared" si="3"/>
        <v>63</v>
      </c>
      <c r="J79" s="2">
        <f>MIN(E79+H79,Notes!$B$2)</f>
        <v>71</v>
      </c>
      <c r="K79" s="7"/>
    </row>
    <row r="80" spans="1:11" x14ac:dyDescent="0.25">
      <c r="A80" s="2">
        <f t="shared" si="2"/>
        <v>77</v>
      </c>
      <c r="B80" s="9" t="s">
        <v>97</v>
      </c>
      <c r="C80" s="9" t="s">
        <v>22</v>
      </c>
      <c r="D80" s="4">
        <v>38</v>
      </c>
      <c r="E80" s="5">
        <v>66</v>
      </c>
      <c r="F80" s="2">
        <f>IF(D80&lt;Notes!$B$6,Notes!$C$6,IF(D80&lt;Notes!$B$7,Notes!$C$7,IF(D80&lt;Notes!$B$8,Notes!$C$8,Notes!$C$9)))</f>
        <v>3</v>
      </c>
      <c r="G80" s="5">
        <v>0</v>
      </c>
      <c r="H80" s="6">
        <f>MIN(Notes!$B$3,MAX(1,F80+G80))</f>
        <v>3</v>
      </c>
      <c r="I80" s="2">
        <f t="shared" si="3"/>
        <v>63</v>
      </c>
      <c r="J80" s="2">
        <f>MIN(E80+H80,Notes!$B$2)</f>
        <v>69</v>
      </c>
      <c r="K80" s="7"/>
    </row>
    <row r="81" spans="1:11" x14ac:dyDescent="0.25">
      <c r="A81" s="2">
        <f t="shared" si="2"/>
        <v>71</v>
      </c>
      <c r="B81" s="11" t="s">
        <v>98</v>
      </c>
      <c r="C81" s="11" t="s">
        <v>33</v>
      </c>
      <c r="D81" s="4">
        <v>10.8</v>
      </c>
      <c r="E81" s="5">
        <v>67</v>
      </c>
      <c r="F81" s="2">
        <f>IF(D81&lt;Notes!$B$6,Notes!$C$6,IF(D81&lt;Notes!$B$7,Notes!$C$7,IF(D81&lt;Notes!$B$8,Notes!$C$8,Notes!$C$9)))</f>
        <v>4</v>
      </c>
      <c r="G81" s="5">
        <v>0</v>
      </c>
      <c r="H81" s="6">
        <f>MIN(Notes!$B$3,MAX(1,F81+G81))</f>
        <v>4</v>
      </c>
      <c r="I81" s="2">
        <f t="shared" si="3"/>
        <v>63</v>
      </c>
      <c r="J81" s="2">
        <f>MIN(E81+H81,Notes!$B$2)</f>
        <v>71</v>
      </c>
      <c r="K81" s="7"/>
    </row>
    <row r="82" spans="1:11" x14ac:dyDescent="0.25">
      <c r="A82" s="2">
        <f t="shared" si="2"/>
        <v>77</v>
      </c>
      <c r="B82" s="3" t="s">
        <v>99</v>
      </c>
      <c r="C82" s="3" t="s">
        <v>12</v>
      </c>
      <c r="D82" s="4">
        <v>0.62</v>
      </c>
      <c r="E82" s="5">
        <v>66</v>
      </c>
      <c r="F82" s="2">
        <f>IF(D82&lt;Notes!$B$6,Notes!$C$6,IF(D82&lt;Notes!$B$7,Notes!$C$7,IF(D82&lt;Notes!$B$8,Notes!$C$8,Notes!$C$9)))</f>
        <v>5</v>
      </c>
      <c r="G82" s="5">
        <v>0</v>
      </c>
      <c r="H82" s="6">
        <f>MIN(Notes!$B$3,MAX(1,F82+G82))</f>
        <v>5</v>
      </c>
      <c r="I82" s="2">
        <f t="shared" si="3"/>
        <v>61</v>
      </c>
      <c r="J82" s="2">
        <f>MIN(E82+H82,Notes!$B$2)</f>
        <v>71</v>
      </c>
      <c r="K82" s="7"/>
    </row>
    <row r="83" spans="1:11" x14ac:dyDescent="0.25">
      <c r="A83" s="2">
        <f t="shared" si="2"/>
        <v>63</v>
      </c>
      <c r="B83" s="3" t="s">
        <v>100</v>
      </c>
      <c r="C83" s="3" t="s">
        <v>12</v>
      </c>
      <c r="D83" s="4">
        <v>1.8</v>
      </c>
      <c r="E83" s="5">
        <v>69</v>
      </c>
      <c r="F83" s="2">
        <f>IF(D83&lt;Notes!$B$6,Notes!$C$6,IF(D83&lt;Notes!$B$7,Notes!$C$7,IF(D83&lt;Notes!$B$8,Notes!$C$8,Notes!$C$9)))</f>
        <v>5</v>
      </c>
      <c r="G83" s="5">
        <v>0</v>
      </c>
      <c r="H83" s="6">
        <f>MIN(Notes!$B$3,MAX(1,F83+G83))</f>
        <v>5</v>
      </c>
      <c r="I83" s="2">
        <f t="shared" si="3"/>
        <v>64</v>
      </c>
      <c r="J83" s="2">
        <f>MIN(E83+H83,Notes!$B$2)</f>
        <v>74</v>
      </c>
      <c r="K83" s="7"/>
    </row>
    <row r="84" spans="1:11" x14ac:dyDescent="0.25">
      <c r="A84" s="2">
        <f t="shared" si="2"/>
        <v>81</v>
      </c>
      <c r="B84" s="9" t="s">
        <v>101</v>
      </c>
      <c r="C84" s="9" t="s">
        <v>22</v>
      </c>
      <c r="D84" s="4">
        <v>14.5</v>
      </c>
      <c r="E84" s="5">
        <v>65</v>
      </c>
      <c r="F84" s="2">
        <f>IF(D84&lt;Notes!$B$6,Notes!$C$6,IF(D84&lt;Notes!$B$7,Notes!$C$7,IF(D84&lt;Notes!$B$8,Notes!$C$8,Notes!$C$9)))</f>
        <v>4</v>
      </c>
      <c r="G84" s="5">
        <v>0</v>
      </c>
      <c r="H84" s="6">
        <f>MIN(Notes!$B$3,MAX(1,F84+G84))</f>
        <v>4</v>
      </c>
      <c r="I84" s="2">
        <f t="shared" si="3"/>
        <v>61</v>
      </c>
      <c r="J84" s="2">
        <f>MIN(E84+H84,Notes!$B$2)</f>
        <v>69</v>
      </c>
      <c r="K84" s="7"/>
    </row>
    <row r="85" spans="1:11" x14ac:dyDescent="0.25">
      <c r="A85" s="2">
        <f t="shared" si="2"/>
        <v>77</v>
      </c>
      <c r="B85" s="9" t="s">
        <v>102</v>
      </c>
      <c r="C85" s="9" t="s">
        <v>22</v>
      </c>
      <c r="D85" s="4">
        <v>21.3</v>
      </c>
      <c r="E85" s="5">
        <v>66</v>
      </c>
      <c r="F85" s="2">
        <f>IF(D85&lt;Notes!$B$6,Notes!$C$6,IF(D85&lt;Notes!$B$7,Notes!$C$7,IF(D85&lt;Notes!$B$8,Notes!$C$8,Notes!$C$9)))</f>
        <v>3</v>
      </c>
      <c r="G85" s="5">
        <v>0</v>
      </c>
      <c r="H85" s="6">
        <f>MIN(Notes!$B$3,MAX(1,F85+G85))</f>
        <v>3</v>
      </c>
      <c r="I85" s="2">
        <f t="shared" si="3"/>
        <v>63</v>
      </c>
      <c r="J85" s="2">
        <f>MIN(E85+H85,Notes!$B$2)</f>
        <v>69</v>
      </c>
      <c r="K85" s="7"/>
    </row>
    <row r="86" spans="1:11" x14ac:dyDescent="0.25">
      <c r="A86" s="2">
        <f t="shared" si="2"/>
        <v>77</v>
      </c>
      <c r="B86" s="3" t="s">
        <v>103</v>
      </c>
      <c r="C86" s="3" t="s">
        <v>12</v>
      </c>
      <c r="D86" s="4">
        <v>6.4</v>
      </c>
      <c r="E86" s="5">
        <v>66</v>
      </c>
      <c r="F86" s="2">
        <f>IF(D86&lt;Notes!$B$6,Notes!$C$6,IF(D86&lt;Notes!$B$7,Notes!$C$7,IF(D86&lt;Notes!$B$8,Notes!$C$8,Notes!$C$9)))</f>
        <v>4</v>
      </c>
      <c r="G86" s="5">
        <v>0</v>
      </c>
      <c r="H86" s="6">
        <f>MIN(Notes!$B$3,MAX(1,F86+G86))</f>
        <v>4</v>
      </c>
      <c r="I86" s="2">
        <f t="shared" si="3"/>
        <v>62</v>
      </c>
      <c r="J86" s="2">
        <f>MIN(E86+H86,Notes!$B$2)</f>
        <v>70</v>
      </c>
      <c r="K86" s="7"/>
    </row>
    <row r="87" spans="1:11" x14ac:dyDescent="0.25">
      <c r="A87" s="2">
        <f t="shared" si="2"/>
        <v>95</v>
      </c>
      <c r="B87" s="10" t="s">
        <v>104</v>
      </c>
      <c r="C87" s="10" t="s">
        <v>30</v>
      </c>
      <c r="D87" s="4">
        <v>5.3</v>
      </c>
      <c r="E87" s="5">
        <v>60</v>
      </c>
      <c r="F87" s="2">
        <f>IF(D87&lt;Notes!$B$6,Notes!$C$6,IF(D87&lt;Notes!$B$7,Notes!$C$7,IF(D87&lt;Notes!$B$8,Notes!$C$8,Notes!$C$9)))</f>
        <v>4</v>
      </c>
      <c r="G87" s="5">
        <v>0</v>
      </c>
      <c r="H87" s="6">
        <f>MIN(Notes!$B$3,MAX(1,F87+G87))</f>
        <v>4</v>
      </c>
      <c r="I87" s="2">
        <f t="shared" si="3"/>
        <v>56</v>
      </c>
      <c r="J87" s="2">
        <f>MIN(E87+H87,Notes!$B$2)</f>
        <v>64</v>
      </c>
      <c r="K87" s="7"/>
    </row>
    <row r="88" spans="1:11" x14ac:dyDescent="0.25">
      <c r="A88" s="2">
        <f t="shared" si="2"/>
        <v>95</v>
      </c>
      <c r="B88" s="9" t="s">
        <v>105</v>
      </c>
      <c r="C88" s="9" t="s">
        <v>22</v>
      </c>
      <c r="D88" s="4">
        <v>1.9</v>
      </c>
      <c r="E88" s="5">
        <v>60</v>
      </c>
      <c r="F88" s="2">
        <f>IF(D88&lt;Notes!$B$6,Notes!$C$6,IF(D88&lt;Notes!$B$7,Notes!$C$7,IF(D88&lt;Notes!$B$8,Notes!$C$8,Notes!$C$9)))</f>
        <v>5</v>
      </c>
      <c r="G88" s="5">
        <v>0</v>
      </c>
      <c r="H88" s="6">
        <f>MIN(Notes!$B$3,MAX(1,F88+G88))</f>
        <v>5</v>
      </c>
      <c r="I88" s="2">
        <f t="shared" si="3"/>
        <v>55</v>
      </c>
      <c r="J88" s="2">
        <f>MIN(E88+H88,Notes!$B$2)</f>
        <v>65</v>
      </c>
      <c r="K88" s="7"/>
    </row>
    <row r="89" spans="1:11" x14ac:dyDescent="0.25">
      <c r="A89" s="2">
        <f t="shared" si="2"/>
        <v>85</v>
      </c>
      <c r="B89" s="9" t="s">
        <v>106</v>
      </c>
      <c r="C89" s="9" t="s">
        <v>22</v>
      </c>
      <c r="D89" s="4">
        <v>50</v>
      </c>
      <c r="E89" s="5">
        <v>64</v>
      </c>
      <c r="F89" s="2">
        <f>IF(D89&lt;Notes!$B$6,Notes!$C$6,IF(D89&lt;Notes!$B$7,Notes!$C$7,IF(D89&lt;Notes!$B$8,Notes!$C$8,Notes!$C$9)))</f>
        <v>2</v>
      </c>
      <c r="G89" s="5">
        <v>0</v>
      </c>
      <c r="H89" s="6">
        <f>MIN(Notes!$B$3,MAX(1,F89+G89))</f>
        <v>2</v>
      </c>
      <c r="I89" s="2">
        <f t="shared" si="3"/>
        <v>62</v>
      </c>
      <c r="J89" s="2">
        <f>MIN(E89+H89,Notes!$B$2)</f>
        <v>66</v>
      </c>
      <c r="K89" s="7"/>
    </row>
    <row r="90" spans="1:11" x14ac:dyDescent="0.25">
      <c r="A90" s="2">
        <f t="shared" si="2"/>
        <v>81</v>
      </c>
      <c r="B90" s="11" t="s">
        <v>107</v>
      </c>
      <c r="C90" s="11" t="s">
        <v>33</v>
      </c>
      <c r="D90" s="4">
        <v>0.155</v>
      </c>
      <c r="E90" s="5">
        <v>65</v>
      </c>
      <c r="F90" s="2">
        <f>IF(D90&lt;Notes!$B$6,Notes!$C$6,IF(D90&lt;Notes!$B$7,Notes!$C$7,IF(D90&lt;Notes!$B$8,Notes!$C$8,Notes!$C$9)))</f>
        <v>5</v>
      </c>
      <c r="G90" s="5">
        <v>0</v>
      </c>
      <c r="H90" s="6">
        <f>MIN(Notes!$B$3,MAX(1,F90+G90))</f>
        <v>5</v>
      </c>
      <c r="I90" s="2">
        <f t="shared" si="3"/>
        <v>60</v>
      </c>
      <c r="J90" s="2">
        <f>MIN(E90+H90,Notes!$B$2)</f>
        <v>70</v>
      </c>
      <c r="K90" s="7"/>
    </row>
    <row r="91" spans="1:11" x14ac:dyDescent="0.25">
      <c r="A91" s="2">
        <f t="shared" si="2"/>
        <v>87</v>
      </c>
      <c r="B91" s="11" t="s">
        <v>108</v>
      </c>
      <c r="C91" s="11" t="s">
        <v>33</v>
      </c>
      <c r="D91" s="4">
        <v>11.8</v>
      </c>
      <c r="E91" s="5">
        <v>63</v>
      </c>
      <c r="F91" s="2">
        <f>IF(D91&lt;Notes!$B$6,Notes!$C$6,IF(D91&lt;Notes!$B$7,Notes!$C$7,IF(D91&lt;Notes!$B$8,Notes!$C$8,Notes!$C$9)))</f>
        <v>4</v>
      </c>
      <c r="G91" s="5">
        <v>0</v>
      </c>
      <c r="H91" s="6">
        <f>MIN(Notes!$B$3,MAX(1,F91+G91))</f>
        <v>4</v>
      </c>
      <c r="I91" s="2">
        <f t="shared" si="3"/>
        <v>59</v>
      </c>
      <c r="J91" s="2">
        <f>MIN(E91+H91,Notes!$B$2)</f>
        <v>67</v>
      </c>
      <c r="K91" s="7"/>
    </row>
    <row r="92" spans="1:11" x14ac:dyDescent="0.25">
      <c r="A92" s="2">
        <f t="shared" si="2"/>
        <v>90</v>
      </c>
      <c r="B92" s="8" t="s">
        <v>109</v>
      </c>
      <c r="C92" s="8" t="s">
        <v>15</v>
      </c>
      <c r="D92" s="4">
        <v>12.4</v>
      </c>
      <c r="E92" s="5">
        <v>62</v>
      </c>
      <c r="F92" s="2">
        <f>IF(D92&lt;Notes!$B$6,Notes!$C$6,IF(D92&lt;Notes!$B$7,Notes!$C$7,IF(D92&lt;Notes!$B$8,Notes!$C$8,Notes!$C$9)))</f>
        <v>4</v>
      </c>
      <c r="G92" s="5">
        <v>0</v>
      </c>
      <c r="H92" s="6">
        <f>MIN(Notes!$B$3,MAX(1,F92+G92))</f>
        <v>4</v>
      </c>
      <c r="I92" s="2">
        <f t="shared" si="3"/>
        <v>58</v>
      </c>
      <c r="J92" s="2">
        <f>MIN(E92+H92,Notes!$B$2)</f>
        <v>66</v>
      </c>
      <c r="K92" s="7"/>
    </row>
    <row r="93" spans="1:11" x14ac:dyDescent="0.25">
      <c r="A93" s="2">
        <f t="shared" si="2"/>
        <v>133</v>
      </c>
      <c r="B93" s="10" t="s">
        <v>110</v>
      </c>
      <c r="C93" s="10" t="s">
        <v>30</v>
      </c>
      <c r="D93" s="4">
        <v>1410</v>
      </c>
      <c r="E93" s="5">
        <v>50</v>
      </c>
      <c r="F93" s="2">
        <f>IF(D93&lt;Notes!$B$6,Notes!$C$6,IF(D93&lt;Notes!$B$7,Notes!$C$7,IF(D93&lt;Notes!$B$8,Notes!$C$8,Notes!$C$9)))</f>
        <v>2</v>
      </c>
      <c r="G93" s="5">
        <v>1</v>
      </c>
      <c r="H93" s="6">
        <f>MIN(Notes!$B$3,MAX(1,F93+G93))</f>
        <v>3</v>
      </c>
      <c r="I93" s="2">
        <f t="shared" si="3"/>
        <v>47</v>
      </c>
      <c r="J93" s="2">
        <f>MIN(E93+H93,Notes!$B$2)</f>
        <v>53</v>
      </c>
      <c r="K93" s="7" t="s">
        <v>37</v>
      </c>
    </row>
    <row r="94" spans="1:11" x14ac:dyDescent="0.25">
      <c r="A94" s="2">
        <f t="shared" si="2"/>
        <v>95</v>
      </c>
      <c r="B94" s="9" t="s">
        <v>111</v>
      </c>
      <c r="C94" s="9" t="s">
        <v>22</v>
      </c>
      <c r="D94" s="4">
        <v>7.4</v>
      </c>
      <c r="E94" s="5">
        <v>60</v>
      </c>
      <c r="F94" s="2">
        <f>IF(D94&lt;Notes!$B$6,Notes!$C$6,IF(D94&lt;Notes!$B$7,Notes!$C$7,IF(D94&lt;Notes!$B$8,Notes!$C$8,Notes!$C$9)))</f>
        <v>4</v>
      </c>
      <c r="G94" s="5">
        <v>0</v>
      </c>
      <c r="H94" s="6">
        <f>MIN(Notes!$B$3,MAX(1,F94+G94))</f>
        <v>4</v>
      </c>
      <c r="I94" s="2">
        <f t="shared" si="3"/>
        <v>56</v>
      </c>
      <c r="J94" s="2">
        <f>MIN(E94+H94,Notes!$B$2)</f>
        <v>64</v>
      </c>
      <c r="K94" s="7"/>
    </row>
    <row r="95" spans="1:11" x14ac:dyDescent="0.25">
      <c r="A95" s="2">
        <f t="shared" si="2"/>
        <v>113</v>
      </c>
      <c r="B95" s="9" t="s">
        <v>112</v>
      </c>
      <c r="C95" s="9" t="s">
        <v>22</v>
      </c>
      <c r="D95" s="4">
        <v>5.2</v>
      </c>
      <c r="E95" s="5">
        <v>55</v>
      </c>
      <c r="F95" s="2">
        <f>IF(D95&lt;Notes!$B$6,Notes!$C$6,IF(D95&lt;Notes!$B$7,Notes!$C$7,IF(D95&lt;Notes!$B$8,Notes!$C$8,Notes!$C$9)))</f>
        <v>4</v>
      </c>
      <c r="G95" s="5">
        <v>0</v>
      </c>
      <c r="H95" s="6">
        <f>MIN(Notes!$B$3,MAX(1,F95+G95))</f>
        <v>4</v>
      </c>
      <c r="I95" s="2">
        <f t="shared" si="3"/>
        <v>51</v>
      </c>
      <c r="J95" s="2">
        <f>MIN(E95+H95,Notes!$B$2)</f>
        <v>59</v>
      </c>
      <c r="K95" s="7"/>
    </row>
    <row r="96" spans="1:11" x14ac:dyDescent="0.25">
      <c r="A96" s="2">
        <f t="shared" si="2"/>
        <v>113</v>
      </c>
      <c r="B96" s="11" t="s">
        <v>113</v>
      </c>
      <c r="C96" s="11" t="s">
        <v>33</v>
      </c>
      <c r="D96" s="4">
        <v>18.399999999999999</v>
      </c>
      <c r="E96" s="5">
        <v>55</v>
      </c>
      <c r="F96" s="2">
        <f>IF(D96&lt;Notes!$B$6,Notes!$C$6,IF(D96&lt;Notes!$B$7,Notes!$C$7,IF(D96&lt;Notes!$B$8,Notes!$C$8,Notes!$C$9)))</f>
        <v>3</v>
      </c>
      <c r="G96" s="5">
        <v>0</v>
      </c>
      <c r="H96" s="6">
        <f>MIN(Notes!$B$3,MAX(1,F96+G96))</f>
        <v>3</v>
      </c>
      <c r="I96" s="2">
        <f t="shared" si="3"/>
        <v>52</v>
      </c>
      <c r="J96" s="2">
        <f>MIN(E96+H96,Notes!$B$2)</f>
        <v>58</v>
      </c>
      <c r="K96" s="7"/>
    </row>
    <row r="97" spans="1:11" x14ac:dyDescent="0.25">
      <c r="A97" s="2">
        <f t="shared" si="2"/>
        <v>113</v>
      </c>
      <c r="B97" s="3" t="s">
        <v>114</v>
      </c>
      <c r="C97" s="3" t="s">
        <v>12</v>
      </c>
      <c r="D97" s="4">
        <v>9.1</v>
      </c>
      <c r="E97" s="5">
        <v>55</v>
      </c>
      <c r="F97" s="2">
        <f>IF(D97&lt;Notes!$B$6,Notes!$C$6,IF(D97&lt;Notes!$B$7,Notes!$C$7,IF(D97&lt;Notes!$B$8,Notes!$C$8,Notes!$C$9)))</f>
        <v>4</v>
      </c>
      <c r="G97" s="5">
        <v>0</v>
      </c>
      <c r="H97" s="6">
        <f>MIN(Notes!$B$3,MAX(1,F97+G97))</f>
        <v>4</v>
      </c>
      <c r="I97" s="2">
        <f t="shared" si="3"/>
        <v>51</v>
      </c>
      <c r="J97" s="2">
        <f>MIN(E97+H97,Notes!$B$2)</f>
        <v>59</v>
      </c>
      <c r="K97" s="7"/>
    </row>
    <row r="98" spans="1:11" x14ac:dyDescent="0.25">
      <c r="A98" s="2">
        <f t="shared" si="2"/>
        <v>113</v>
      </c>
      <c r="B98" s="3" t="s">
        <v>115</v>
      </c>
      <c r="C98" s="3" t="s">
        <v>12</v>
      </c>
      <c r="D98" s="4">
        <v>20.3</v>
      </c>
      <c r="E98" s="5">
        <v>55</v>
      </c>
      <c r="F98" s="2">
        <f>IF(D98&lt;Notes!$B$6,Notes!$C$6,IF(D98&lt;Notes!$B$7,Notes!$C$7,IF(D98&lt;Notes!$B$8,Notes!$C$8,Notes!$C$9)))</f>
        <v>3</v>
      </c>
      <c r="G98" s="5">
        <v>0</v>
      </c>
      <c r="H98" s="6">
        <f>MIN(Notes!$B$3,MAX(1,F98+G98))</f>
        <v>3</v>
      </c>
      <c r="I98" s="2">
        <f t="shared" si="3"/>
        <v>52</v>
      </c>
      <c r="J98" s="2">
        <f>MIN(E98+H98,Notes!$B$2)</f>
        <v>58</v>
      </c>
      <c r="K98" s="7"/>
    </row>
    <row r="99" spans="1:11" x14ac:dyDescent="0.25">
      <c r="A99" s="2">
        <f t="shared" si="2"/>
        <v>131</v>
      </c>
      <c r="B99" s="10" t="s">
        <v>116</v>
      </c>
      <c r="C99" s="10" t="s">
        <v>30</v>
      </c>
      <c r="D99" s="4">
        <v>1.6</v>
      </c>
      <c r="E99" s="5">
        <v>51</v>
      </c>
      <c r="F99" s="2">
        <f>IF(D99&lt;Notes!$B$6,Notes!$C$6,IF(D99&lt;Notes!$B$7,Notes!$C$7,IF(D99&lt;Notes!$B$8,Notes!$C$8,Notes!$C$9)))</f>
        <v>5</v>
      </c>
      <c r="G99" s="5">
        <v>0</v>
      </c>
      <c r="H99" s="6">
        <f>MIN(Notes!$B$3,MAX(1,F99+G99))</f>
        <v>5</v>
      </c>
      <c r="I99" s="2">
        <f t="shared" si="3"/>
        <v>46</v>
      </c>
      <c r="J99" s="2">
        <f>MIN(E99+H99,Notes!$B$2)</f>
        <v>56</v>
      </c>
      <c r="K99" s="7"/>
    </row>
    <row r="100" spans="1:11" x14ac:dyDescent="0.25">
      <c r="A100" s="2">
        <f t="shared" si="2"/>
        <v>113</v>
      </c>
      <c r="B100" s="10" t="s">
        <v>117</v>
      </c>
      <c r="C100" s="10" t="s">
        <v>30</v>
      </c>
      <c r="D100" s="4">
        <v>281</v>
      </c>
      <c r="E100" s="5">
        <v>55</v>
      </c>
      <c r="F100" s="2">
        <f>IF(D100&lt;Notes!$B$6,Notes!$C$6,IF(D100&lt;Notes!$B$7,Notes!$C$7,IF(D100&lt;Notes!$B$8,Notes!$C$8,Notes!$C$9)))</f>
        <v>2</v>
      </c>
      <c r="G100" s="5">
        <v>1</v>
      </c>
      <c r="H100" s="6">
        <f>MIN(Notes!$B$3,MAX(1,F100+G100))</f>
        <v>3</v>
      </c>
      <c r="I100" s="2">
        <f t="shared" si="3"/>
        <v>52</v>
      </c>
      <c r="J100" s="2">
        <f>MIN(E100+H100,Notes!$B$2)</f>
        <v>58</v>
      </c>
      <c r="K100" s="7" t="s">
        <v>118</v>
      </c>
    </row>
    <row r="101" spans="1:11" x14ac:dyDescent="0.25">
      <c r="A101" s="2">
        <f t="shared" si="2"/>
        <v>107</v>
      </c>
      <c r="B101" s="10" t="s">
        <v>119</v>
      </c>
      <c r="C101" s="10" t="s">
        <v>30</v>
      </c>
      <c r="D101" s="4">
        <v>25</v>
      </c>
      <c r="E101" s="5">
        <v>57</v>
      </c>
      <c r="F101" s="2">
        <f>IF(D101&lt;Notes!$B$6,Notes!$C$6,IF(D101&lt;Notes!$B$7,Notes!$C$7,IF(D101&lt;Notes!$B$8,Notes!$C$8,Notes!$C$9)))</f>
        <v>3</v>
      </c>
      <c r="G101" s="5">
        <v>0</v>
      </c>
      <c r="H101" s="6">
        <f>MIN(Notes!$B$3,MAX(1,F101+G101))</f>
        <v>3</v>
      </c>
      <c r="I101" s="2">
        <f t="shared" si="3"/>
        <v>54</v>
      </c>
      <c r="J101" s="2">
        <f>MIN(E101+H101,Notes!$B$2)</f>
        <v>60</v>
      </c>
      <c r="K101" s="7"/>
    </row>
    <row r="102" spans="1:11" x14ac:dyDescent="0.25">
      <c r="A102" s="2">
        <f t="shared" si="2"/>
        <v>87</v>
      </c>
      <c r="B102" s="9" t="s">
        <v>120</v>
      </c>
      <c r="C102" s="9" t="s">
        <v>22</v>
      </c>
      <c r="D102" s="4">
        <v>2.8</v>
      </c>
      <c r="E102" s="5">
        <v>63</v>
      </c>
      <c r="F102" s="2">
        <f>IF(D102&lt;Notes!$B$6,Notes!$C$6,IF(D102&lt;Notes!$B$7,Notes!$C$7,IF(D102&lt;Notes!$B$8,Notes!$C$8,Notes!$C$9)))</f>
        <v>5</v>
      </c>
      <c r="G102" s="5">
        <v>0</v>
      </c>
      <c r="H102" s="6">
        <f>MIN(Notes!$B$3,MAX(1,F102+G102))</f>
        <v>5</v>
      </c>
      <c r="I102" s="2">
        <f t="shared" si="3"/>
        <v>58</v>
      </c>
      <c r="J102" s="2">
        <f>MIN(E102+H102,Notes!$B$2)</f>
        <v>68</v>
      </c>
      <c r="K102" s="7"/>
    </row>
    <row r="103" spans="1:11" x14ac:dyDescent="0.25">
      <c r="A103" s="2">
        <f t="shared" si="2"/>
        <v>87</v>
      </c>
      <c r="B103" s="9" t="s">
        <v>121</v>
      </c>
      <c r="C103" s="9" t="s">
        <v>22</v>
      </c>
      <c r="D103" s="4">
        <v>56</v>
      </c>
      <c r="E103" s="5">
        <v>63</v>
      </c>
      <c r="F103" s="2">
        <f>IF(D103&lt;Notes!$B$6,Notes!$C$6,IF(D103&lt;Notes!$B$7,Notes!$C$7,IF(D103&lt;Notes!$B$8,Notes!$C$8,Notes!$C$9)))</f>
        <v>2</v>
      </c>
      <c r="G103" s="5">
        <v>0</v>
      </c>
      <c r="H103" s="6">
        <f>MIN(Notes!$B$3,MAX(1,F103+G103))</f>
        <v>2</v>
      </c>
      <c r="I103" s="2">
        <f t="shared" si="3"/>
        <v>61</v>
      </c>
      <c r="J103" s="2">
        <f>MIN(E103+H103,Notes!$B$2)</f>
        <v>65</v>
      </c>
      <c r="K103" s="7"/>
    </row>
    <row r="104" spans="1:11" x14ac:dyDescent="0.25">
      <c r="A104" s="2">
        <f t="shared" si="2"/>
        <v>100</v>
      </c>
      <c r="B104" s="9" t="s">
        <v>122</v>
      </c>
      <c r="C104" s="9" t="s">
        <v>22</v>
      </c>
      <c r="D104" s="4">
        <v>31.9</v>
      </c>
      <c r="E104" s="5">
        <v>59</v>
      </c>
      <c r="F104" s="2">
        <f>IF(D104&lt;Notes!$B$6,Notes!$C$6,IF(D104&lt;Notes!$B$7,Notes!$C$7,IF(D104&lt;Notes!$B$8,Notes!$C$8,Notes!$C$9)))</f>
        <v>3</v>
      </c>
      <c r="G104" s="5">
        <v>0</v>
      </c>
      <c r="H104" s="6">
        <f>MIN(Notes!$B$3,MAX(1,F104+G104))</f>
        <v>3</v>
      </c>
      <c r="I104" s="2">
        <f t="shared" si="3"/>
        <v>56</v>
      </c>
      <c r="J104" s="2">
        <f>MIN(E104+H104,Notes!$B$2)</f>
        <v>62</v>
      </c>
      <c r="K104" s="7"/>
    </row>
    <row r="105" spans="1:11" x14ac:dyDescent="0.25">
      <c r="A105" s="2">
        <f t="shared" si="2"/>
        <v>103</v>
      </c>
      <c r="B105" s="9" t="s">
        <v>123</v>
      </c>
      <c r="C105" s="9" t="s">
        <v>22</v>
      </c>
      <c r="D105" s="4">
        <v>35</v>
      </c>
      <c r="E105" s="5">
        <v>58</v>
      </c>
      <c r="F105" s="2">
        <f>IF(D105&lt;Notes!$B$6,Notes!$C$6,IF(D105&lt;Notes!$B$7,Notes!$C$7,IF(D105&lt;Notes!$B$8,Notes!$C$8,Notes!$C$9)))</f>
        <v>3</v>
      </c>
      <c r="G105" s="5">
        <v>0</v>
      </c>
      <c r="H105" s="6">
        <f>MIN(Notes!$B$3,MAX(1,F105+G105))</f>
        <v>3</v>
      </c>
      <c r="I105" s="2">
        <f t="shared" si="3"/>
        <v>55</v>
      </c>
      <c r="J105" s="2">
        <f>MIN(E105+H105,Notes!$B$2)</f>
        <v>61</v>
      </c>
      <c r="K105" s="7"/>
    </row>
    <row r="106" spans="1:11" x14ac:dyDescent="0.25">
      <c r="A106" s="2">
        <f t="shared" si="2"/>
        <v>90</v>
      </c>
      <c r="B106" s="11" t="s">
        <v>124</v>
      </c>
      <c r="C106" s="11" t="s">
        <v>33</v>
      </c>
      <c r="D106" s="4">
        <v>6.3</v>
      </c>
      <c r="E106" s="5">
        <v>62</v>
      </c>
      <c r="F106" s="2">
        <f>IF(D106&lt;Notes!$B$6,Notes!$C$6,IF(D106&lt;Notes!$B$7,Notes!$C$7,IF(D106&lt;Notes!$B$8,Notes!$C$8,Notes!$C$9)))</f>
        <v>4</v>
      </c>
      <c r="G106" s="5">
        <v>0</v>
      </c>
      <c r="H106" s="6">
        <f>MIN(Notes!$B$3,MAX(1,F106+G106))</f>
        <v>4</v>
      </c>
      <c r="I106" s="2">
        <f t="shared" si="3"/>
        <v>58</v>
      </c>
      <c r="J106" s="2">
        <f>MIN(E106+H106,Notes!$B$2)</f>
        <v>66</v>
      </c>
      <c r="K106" s="7"/>
    </row>
    <row r="107" spans="1:11" x14ac:dyDescent="0.25">
      <c r="A107" s="2">
        <f t="shared" si="2"/>
        <v>95</v>
      </c>
      <c r="B107" s="3" t="s">
        <v>125</v>
      </c>
      <c r="C107" s="3" t="s">
        <v>12</v>
      </c>
      <c r="D107" s="4">
        <v>3</v>
      </c>
      <c r="E107" s="5">
        <v>60</v>
      </c>
      <c r="F107" s="2">
        <f>IF(D107&lt;Notes!$B$6,Notes!$C$6,IF(D107&lt;Notes!$B$7,Notes!$C$7,IF(D107&lt;Notes!$B$8,Notes!$C$8,Notes!$C$9)))</f>
        <v>5</v>
      </c>
      <c r="G107" s="5">
        <v>0</v>
      </c>
      <c r="H107" s="6">
        <f>MIN(Notes!$B$3,MAX(1,F107+G107))</f>
        <v>5</v>
      </c>
      <c r="I107" s="2">
        <f t="shared" si="3"/>
        <v>55</v>
      </c>
      <c r="J107" s="2">
        <f>MIN(E107+H107,Notes!$B$2)</f>
        <v>65</v>
      </c>
      <c r="K107" s="7"/>
    </row>
    <row r="108" spans="1:11" x14ac:dyDescent="0.25">
      <c r="A108" s="2">
        <f t="shared" si="2"/>
        <v>113</v>
      </c>
      <c r="B108" s="3" t="s">
        <v>126</v>
      </c>
      <c r="C108" s="3" t="s">
        <v>12</v>
      </c>
      <c r="D108" s="4">
        <v>0.67</v>
      </c>
      <c r="E108" s="5">
        <v>55</v>
      </c>
      <c r="F108" s="2">
        <f>IF(D108&lt;Notes!$B$6,Notes!$C$6,IF(D108&lt;Notes!$B$7,Notes!$C$7,IF(D108&lt;Notes!$B$8,Notes!$C$8,Notes!$C$9)))</f>
        <v>5</v>
      </c>
      <c r="G108" s="5">
        <v>0</v>
      </c>
      <c r="H108" s="6">
        <f>MIN(Notes!$B$3,MAX(1,F108+G108))</f>
        <v>5</v>
      </c>
      <c r="I108" s="2">
        <f t="shared" si="3"/>
        <v>50</v>
      </c>
      <c r="J108" s="2">
        <f>MIN(E108+H108,Notes!$B$2)</f>
        <v>60</v>
      </c>
      <c r="K108" s="7"/>
    </row>
    <row r="109" spans="1:11" x14ac:dyDescent="0.25">
      <c r="A109" s="2">
        <f t="shared" si="2"/>
        <v>113</v>
      </c>
      <c r="B109" s="10" t="s">
        <v>127</v>
      </c>
      <c r="C109" s="10" t="s">
        <v>30</v>
      </c>
      <c r="D109" s="4">
        <v>5.5</v>
      </c>
      <c r="E109" s="5">
        <v>55</v>
      </c>
      <c r="F109" s="2">
        <f>IF(D109&lt;Notes!$B$6,Notes!$C$6,IF(D109&lt;Notes!$B$7,Notes!$C$7,IF(D109&lt;Notes!$B$8,Notes!$C$8,Notes!$C$9)))</f>
        <v>4</v>
      </c>
      <c r="G109" s="5">
        <v>0</v>
      </c>
      <c r="H109" s="6">
        <f>MIN(Notes!$B$3,MAX(1,F109+G109))</f>
        <v>4</v>
      </c>
      <c r="I109" s="2">
        <f t="shared" si="3"/>
        <v>51</v>
      </c>
      <c r="J109" s="2">
        <f>MIN(E109+H109,Notes!$B$2)</f>
        <v>59</v>
      </c>
      <c r="K109" s="7"/>
    </row>
    <row r="110" spans="1:11" x14ac:dyDescent="0.25">
      <c r="A110" s="2">
        <f t="shared" si="2"/>
        <v>133</v>
      </c>
      <c r="B110" s="10" t="s">
        <v>128</v>
      </c>
      <c r="C110" s="10" t="s">
        <v>30</v>
      </c>
      <c r="D110" s="4">
        <v>71.599999999999994</v>
      </c>
      <c r="E110" s="5">
        <v>50</v>
      </c>
      <c r="F110" s="2">
        <f>IF(D110&lt;Notes!$B$6,Notes!$C$6,IF(D110&lt;Notes!$B$7,Notes!$C$7,IF(D110&lt;Notes!$B$8,Notes!$C$8,Notes!$C$9)))</f>
        <v>2</v>
      </c>
      <c r="G110" s="5">
        <v>0</v>
      </c>
      <c r="H110" s="6">
        <f>MIN(Notes!$B$3,MAX(1,F110+G110))</f>
        <v>2</v>
      </c>
      <c r="I110" s="2">
        <f t="shared" si="3"/>
        <v>48</v>
      </c>
      <c r="J110" s="2">
        <f>MIN(E110+H110,Notes!$B$2)</f>
        <v>52</v>
      </c>
      <c r="K110" s="7"/>
    </row>
    <row r="111" spans="1:11" x14ac:dyDescent="0.25">
      <c r="A111" s="2">
        <f t="shared" si="2"/>
        <v>133</v>
      </c>
      <c r="B111" s="10" t="s">
        <v>129</v>
      </c>
      <c r="C111" s="10" t="s">
        <v>30</v>
      </c>
      <c r="D111" s="4">
        <v>101</v>
      </c>
      <c r="E111" s="5">
        <v>50</v>
      </c>
      <c r="F111" s="2">
        <f>IF(D111&lt;Notes!$B$6,Notes!$C$6,IF(D111&lt;Notes!$B$7,Notes!$C$7,IF(D111&lt;Notes!$B$8,Notes!$C$8,Notes!$C$9)))</f>
        <v>2</v>
      </c>
      <c r="G111" s="5">
        <v>0</v>
      </c>
      <c r="H111" s="6">
        <f>MIN(Notes!$B$3,MAX(1,F111+G111))</f>
        <v>2</v>
      </c>
      <c r="I111" s="2">
        <f t="shared" si="3"/>
        <v>48</v>
      </c>
      <c r="J111" s="2">
        <f>MIN(E111+H111,Notes!$B$2)</f>
        <v>52</v>
      </c>
      <c r="K111" s="7"/>
    </row>
    <row r="112" spans="1:11" x14ac:dyDescent="0.25">
      <c r="A112" s="2">
        <f t="shared" si="2"/>
        <v>145</v>
      </c>
      <c r="B112" s="9" t="s">
        <v>130</v>
      </c>
      <c r="C112" s="9" t="s">
        <v>22</v>
      </c>
      <c r="D112" s="4">
        <v>0.87</v>
      </c>
      <c r="E112" s="5">
        <v>45</v>
      </c>
      <c r="F112" s="2">
        <f>IF(D112&lt;Notes!$B$6,Notes!$C$6,IF(D112&lt;Notes!$B$7,Notes!$C$7,IF(D112&lt;Notes!$B$8,Notes!$C$8,Notes!$C$9)))</f>
        <v>5</v>
      </c>
      <c r="G112" s="5">
        <v>0</v>
      </c>
      <c r="H112" s="6">
        <f>MIN(Notes!$B$3,MAX(1,F112+G112))</f>
        <v>5</v>
      </c>
      <c r="I112" s="2">
        <f t="shared" si="3"/>
        <v>40</v>
      </c>
      <c r="J112" s="2">
        <f>MIN(E112+H112,Notes!$B$2)</f>
        <v>50</v>
      </c>
      <c r="K112" s="7"/>
    </row>
    <row r="113" spans="1:11" x14ac:dyDescent="0.25">
      <c r="A113" s="2">
        <f t="shared" si="2"/>
        <v>90</v>
      </c>
      <c r="B113" s="9" t="s">
        <v>131</v>
      </c>
      <c r="C113" s="9" t="s">
        <v>22</v>
      </c>
      <c r="D113" s="4">
        <v>6.3</v>
      </c>
      <c r="E113" s="5">
        <v>62</v>
      </c>
      <c r="F113" s="2">
        <f>IF(D113&lt;Notes!$B$6,Notes!$C$6,IF(D113&lt;Notes!$B$7,Notes!$C$7,IF(D113&lt;Notes!$B$8,Notes!$C$8,Notes!$C$9)))</f>
        <v>4</v>
      </c>
      <c r="G113" s="5">
        <v>0</v>
      </c>
      <c r="H113" s="6">
        <f>MIN(Notes!$B$3,MAX(1,F113+G113))</f>
        <v>4</v>
      </c>
      <c r="I113" s="2">
        <f t="shared" si="3"/>
        <v>58</v>
      </c>
      <c r="J113" s="2">
        <f>MIN(E113+H113,Notes!$B$2)</f>
        <v>66</v>
      </c>
      <c r="K113" s="7"/>
    </row>
    <row r="114" spans="1:11" x14ac:dyDescent="0.25">
      <c r="A114" s="2">
        <f t="shared" si="2"/>
        <v>93</v>
      </c>
      <c r="B114" s="9" t="s">
        <v>132</v>
      </c>
      <c r="C114" s="9" t="s">
        <v>22</v>
      </c>
      <c r="D114" s="4">
        <v>9.5</v>
      </c>
      <c r="E114" s="5">
        <v>61</v>
      </c>
      <c r="F114" s="2">
        <f>IF(D114&lt;Notes!$B$6,Notes!$C$6,IF(D114&lt;Notes!$B$7,Notes!$C$7,IF(D114&lt;Notes!$B$8,Notes!$C$8,Notes!$C$9)))</f>
        <v>4</v>
      </c>
      <c r="G114" s="5">
        <v>0</v>
      </c>
      <c r="H114" s="6">
        <f>MIN(Notes!$B$3,MAX(1,F114+G114))</f>
        <v>4</v>
      </c>
      <c r="I114" s="2">
        <f t="shared" si="3"/>
        <v>57</v>
      </c>
      <c r="J114" s="2">
        <f>MIN(E114+H114,Notes!$B$2)</f>
        <v>65</v>
      </c>
      <c r="K114" s="7"/>
    </row>
    <row r="115" spans="1:11" x14ac:dyDescent="0.25">
      <c r="A115" s="2">
        <f t="shared" si="2"/>
        <v>93</v>
      </c>
      <c r="B115" s="11" t="s">
        <v>133</v>
      </c>
      <c r="C115" s="11" t="s">
        <v>33</v>
      </c>
      <c r="D115" s="4">
        <v>0.63</v>
      </c>
      <c r="E115" s="5">
        <v>61</v>
      </c>
      <c r="F115" s="2">
        <f>IF(D115&lt;Notes!$B$6,Notes!$C$6,IF(D115&lt;Notes!$B$7,Notes!$C$7,IF(D115&lt;Notes!$B$8,Notes!$C$8,Notes!$C$9)))</f>
        <v>5</v>
      </c>
      <c r="G115" s="5">
        <v>0</v>
      </c>
      <c r="H115" s="6">
        <f>MIN(Notes!$B$3,MAX(1,F115+G115))</f>
        <v>5</v>
      </c>
      <c r="I115" s="2">
        <f t="shared" si="3"/>
        <v>56</v>
      </c>
      <c r="J115" s="2">
        <f>MIN(E115+H115,Notes!$B$2)</f>
        <v>66</v>
      </c>
      <c r="K115" s="7"/>
    </row>
    <row r="116" spans="1:11" x14ac:dyDescent="0.25">
      <c r="A116" s="2">
        <f t="shared" si="2"/>
        <v>103</v>
      </c>
      <c r="B116" s="11" t="s">
        <v>134</v>
      </c>
      <c r="C116" s="11" t="s">
        <v>33</v>
      </c>
      <c r="D116" s="4">
        <v>1.5</v>
      </c>
      <c r="E116" s="5">
        <v>58</v>
      </c>
      <c r="F116" s="2">
        <f>IF(D116&lt;Notes!$B$6,Notes!$C$6,IF(D116&lt;Notes!$B$7,Notes!$C$7,IF(D116&lt;Notes!$B$8,Notes!$C$8,Notes!$C$9)))</f>
        <v>5</v>
      </c>
      <c r="G116" s="5">
        <v>0</v>
      </c>
      <c r="H116" s="6">
        <f>MIN(Notes!$B$3,MAX(1,F116+G116))</f>
        <v>5</v>
      </c>
      <c r="I116" s="2">
        <f t="shared" si="3"/>
        <v>53</v>
      </c>
      <c r="J116" s="2">
        <f>MIN(E116+H116,Notes!$B$2)</f>
        <v>63</v>
      </c>
      <c r="K116" s="7"/>
    </row>
    <row r="117" spans="1:11" x14ac:dyDescent="0.25">
      <c r="A117" s="2">
        <f t="shared" si="2"/>
        <v>127</v>
      </c>
      <c r="B117" s="3" t="s">
        <v>135</v>
      </c>
      <c r="C117" s="3" t="s">
        <v>12</v>
      </c>
      <c r="D117" s="4">
        <v>10.199999999999999</v>
      </c>
      <c r="E117" s="5">
        <v>53</v>
      </c>
      <c r="F117" s="2">
        <f>IF(D117&lt;Notes!$B$6,Notes!$C$6,IF(D117&lt;Notes!$B$7,Notes!$C$7,IF(D117&lt;Notes!$B$8,Notes!$C$8,Notes!$C$9)))</f>
        <v>4</v>
      </c>
      <c r="G117" s="5">
        <v>0</v>
      </c>
      <c r="H117" s="6">
        <f>MIN(Notes!$B$3,MAX(1,F117+G117))</f>
        <v>4</v>
      </c>
      <c r="I117" s="2">
        <f t="shared" si="3"/>
        <v>49</v>
      </c>
      <c r="J117" s="2">
        <f>MIN(E117+H117,Notes!$B$2)</f>
        <v>57</v>
      </c>
      <c r="K117" s="7"/>
    </row>
    <row r="118" spans="1:11" x14ac:dyDescent="0.25">
      <c r="A118" s="2">
        <f t="shared" si="2"/>
        <v>144</v>
      </c>
      <c r="B118" s="10" t="s">
        <v>136</v>
      </c>
      <c r="C118" s="10" t="s">
        <v>30</v>
      </c>
      <c r="D118" s="4">
        <v>7.2</v>
      </c>
      <c r="E118" s="5">
        <v>48</v>
      </c>
      <c r="F118" s="2">
        <f>IF(D118&lt;Notes!$B$6,Notes!$C$6,IF(D118&lt;Notes!$B$7,Notes!$C$7,IF(D118&lt;Notes!$B$8,Notes!$C$8,Notes!$C$9)))</f>
        <v>4</v>
      </c>
      <c r="G118" s="5">
        <v>0</v>
      </c>
      <c r="H118" s="6">
        <f>MIN(Notes!$B$3,MAX(1,F118+G118))</f>
        <v>4</v>
      </c>
      <c r="I118" s="2">
        <f t="shared" si="3"/>
        <v>44</v>
      </c>
      <c r="J118" s="2">
        <f>MIN(E118+H118,Notes!$B$2)</f>
        <v>52</v>
      </c>
      <c r="K118" s="7"/>
    </row>
    <row r="119" spans="1:11" x14ac:dyDescent="0.25">
      <c r="A119" s="2">
        <f t="shared" si="2"/>
        <v>129</v>
      </c>
      <c r="B119" s="10" t="s">
        <v>137</v>
      </c>
      <c r="C119" s="10" t="s">
        <v>30</v>
      </c>
      <c r="D119" s="4">
        <v>26</v>
      </c>
      <c r="E119" s="5">
        <v>52</v>
      </c>
      <c r="F119" s="2">
        <f>IF(D119&lt;Notes!$B$6,Notes!$C$6,IF(D119&lt;Notes!$B$7,Notes!$C$7,IF(D119&lt;Notes!$B$8,Notes!$C$8,Notes!$C$9)))</f>
        <v>3</v>
      </c>
      <c r="G119" s="5">
        <v>0</v>
      </c>
      <c r="H119" s="6">
        <f>MIN(Notes!$B$3,MAX(1,F119+G119))</f>
        <v>3</v>
      </c>
      <c r="I119" s="2">
        <f t="shared" si="3"/>
        <v>49</v>
      </c>
      <c r="J119" s="2">
        <f>MIN(E119+H119,Notes!$B$2)</f>
        <v>55</v>
      </c>
      <c r="K119" s="7"/>
    </row>
    <row r="120" spans="1:11" x14ac:dyDescent="0.25">
      <c r="A120" s="2">
        <f t="shared" si="2"/>
        <v>133</v>
      </c>
      <c r="B120" s="10" t="s">
        <v>138</v>
      </c>
      <c r="C120" s="10" t="s">
        <v>30</v>
      </c>
      <c r="D120" s="4">
        <v>10.6</v>
      </c>
      <c r="E120" s="5">
        <v>50</v>
      </c>
      <c r="F120" s="2">
        <f>IF(D120&lt;Notes!$B$6,Notes!$C$6,IF(D120&lt;Notes!$B$7,Notes!$C$7,IF(D120&lt;Notes!$B$8,Notes!$C$8,Notes!$C$9)))</f>
        <v>4</v>
      </c>
      <c r="G120" s="5">
        <v>0</v>
      </c>
      <c r="H120" s="6">
        <f>MIN(Notes!$B$3,MAX(1,F120+G120))</f>
        <v>4</v>
      </c>
      <c r="I120" s="2">
        <f t="shared" si="3"/>
        <v>46</v>
      </c>
      <c r="J120" s="2">
        <f>MIN(E120+H120,Notes!$B$2)</f>
        <v>54</v>
      </c>
      <c r="K120" s="7"/>
    </row>
    <row r="121" spans="1:11" x14ac:dyDescent="0.25">
      <c r="A121" s="2">
        <f t="shared" si="2"/>
        <v>113</v>
      </c>
      <c r="B121" s="9" t="s">
        <v>139</v>
      </c>
      <c r="C121" s="9" t="s">
        <v>22</v>
      </c>
      <c r="D121" s="4">
        <v>2.2000000000000002</v>
      </c>
      <c r="E121" s="5">
        <v>55</v>
      </c>
      <c r="F121" s="2">
        <f>IF(D121&lt;Notes!$B$6,Notes!$C$6,IF(D121&lt;Notes!$B$7,Notes!$C$7,IF(D121&lt;Notes!$B$8,Notes!$C$8,Notes!$C$9)))</f>
        <v>5</v>
      </c>
      <c r="G121" s="5">
        <v>0</v>
      </c>
      <c r="H121" s="6">
        <f>MIN(Notes!$B$3,MAX(1,F121+G121))</f>
        <v>5</v>
      </c>
      <c r="I121" s="2">
        <f t="shared" si="3"/>
        <v>50</v>
      </c>
      <c r="J121" s="2">
        <f>MIN(E121+H121,Notes!$B$2)</f>
        <v>60</v>
      </c>
      <c r="K121" s="7"/>
    </row>
    <row r="122" spans="1:11" x14ac:dyDescent="0.25">
      <c r="A122" s="2">
        <f t="shared" si="2"/>
        <v>123</v>
      </c>
      <c r="B122" s="9" t="s">
        <v>140</v>
      </c>
      <c r="C122" s="9" t="s">
        <v>22</v>
      </c>
      <c r="D122" s="4">
        <v>3</v>
      </c>
      <c r="E122" s="5">
        <v>54</v>
      </c>
      <c r="F122" s="2">
        <f>IF(D122&lt;Notes!$B$6,Notes!$C$6,IF(D122&lt;Notes!$B$7,Notes!$C$7,IF(D122&lt;Notes!$B$8,Notes!$C$8,Notes!$C$9)))</f>
        <v>5</v>
      </c>
      <c r="G122" s="5">
        <v>0</v>
      </c>
      <c r="H122" s="6">
        <f>MIN(Notes!$B$3,MAX(1,F122+G122))</f>
        <v>5</v>
      </c>
      <c r="I122" s="2">
        <f t="shared" si="3"/>
        <v>49</v>
      </c>
      <c r="J122" s="2">
        <f>MIN(E122+H122,Notes!$B$2)</f>
        <v>59</v>
      </c>
      <c r="K122" s="7"/>
    </row>
    <row r="123" spans="1:11" x14ac:dyDescent="0.25">
      <c r="A123" s="2">
        <f t="shared" si="2"/>
        <v>113</v>
      </c>
      <c r="B123" s="9" t="s">
        <v>141</v>
      </c>
      <c r="C123" s="9" t="s">
        <v>22</v>
      </c>
      <c r="D123" s="4">
        <v>8.8000000000000007</v>
      </c>
      <c r="E123" s="5">
        <v>55</v>
      </c>
      <c r="F123" s="2">
        <f>IF(D123&lt;Notes!$B$6,Notes!$C$6,IF(D123&lt;Notes!$B$7,Notes!$C$7,IF(D123&lt;Notes!$B$8,Notes!$C$8,Notes!$C$9)))</f>
        <v>4</v>
      </c>
      <c r="G123" s="5">
        <v>0</v>
      </c>
      <c r="H123" s="6">
        <f>MIN(Notes!$B$3,MAX(1,F123+G123))</f>
        <v>4</v>
      </c>
      <c r="I123" s="2">
        <f t="shared" si="3"/>
        <v>51</v>
      </c>
      <c r="J123" s="2">
        <f>MIN(E123+H123,Notes!$B$2)</f>
        <v>59</v>
      </c>
      <c r="K123" s="7"/>
    </row>
    <row r="124" spans="1:11" x14ac:dyDescent="0.25">
      <c r="A124" s="2">
        <f t="shared" si="2"/>
        <v>131</v>
      </c>
      <c r="B124" s="9" t="s">
        <v>142</v>
      </c>
      <c r="C124" s="9" t="s">
        <v>22</v>
      </c>
      <c r="D124" s="4">
        <v>50</v>
      </c>
      <c r="E124" s="5">
        <v>51</v>
      </c>
      <c r="F124" s="2">
        <f>IF(D124&lt;Notes!$B$6,Notes!$C$6,IF(D124&lt;Notes!$B$7,Notes!$C$7,IF(D124&lt;Notes!$B$8,Notes!$C$8,Notes!$C$9)))</f>
        <v>2</v>
      </c>
      <c r="G124" s="5">
        <v>0</v>
      </c>
      <c r="H124" s="6">
        <f>MIN(Notes!$B$3,MAX(1,F124+G124))</f>
        <v>2</v>
      </c>
      <c r="I124" s="2">
        <f t="shared" si="3"/>
        <v>49</v>
      </c>
      <c r="J124" s="2">
        <f>MIN(E124+H124,Notes!$B$2)</f>
        <v>53</v>
      </c>
      <c r="K124" s="7"/>
    </row>
    <row r="125" spans="1:11" x14ac:dyDescent="0.25">
      <c r="A125" s="2">
        <f t="shared" si="2"/>
        <v>103</v>
      </c>
      <c r="B125" s="9" t="s">
        <v>143</v>
      </c>
      <c r="C125" s="9" t="s">
        <v>22</v>
      </c>
      <c r="D125" s="4">
        <v>68</v>
      </c>
      <c r="E125" s="5">
        <v>58</v>
      </c>
      <c r="F125" s="2">
        <f>IF(D125&lt;Notes!$B$6,Notes!$C$6,IF(D125&lt;Notes!$B$7,Notes!$C$7,IF(D125&lt;Notes!$B$8,Notes!$C$8,Notes!$C$9)))</f>
        <v>2</v>
      </c>
      <c r="G125" s="5">
        <v>0</v>
      </c>
      <c r="H125" s="6">
        <f>MIN(Notes!$B$3,MAX(1,F125+G125))</f>
        <v>2</v>
      </c>
      <c r="I125" s="2">
        <f t="shared" si="3"/>
        <v>56</v>
      </c>
      <c r="J125" s="2">
        <f>MIN(E125+H125,Notes!$B$2)</f>
        <v>60</v>
      </c>
      <c r="K125" s="7"/>
    </row>
    <row r="126" spans="1:11" x14ac:dyDescent="0.25">
      <c r="A126" s="2">
        <f t="shared" si="2"/>
        <v>103</v>
      </c>
      <c r="B126" s="9" t="s">
        <v>144</v>
      </c>
      <c r="C126" s="9" t="s">
        <v>22</v>
      </c>
      <c r="D126" s="4">
        <v>16.899999999999999</v>
      </c>
      <c r="E126" s="5">
        <v>58</v>
      </c>
      <c r="F126" s="2">
        <f>IF(D126&lt;Notes!$B$6,Notes!$C$6,IF(D126&lt;Notes!$B$7,Notes!$C$7,IF(D126&lt;Notes!$B$8,Notes!$C$8,Notes!$C$9)))</f>
        <v>3</v>
      </c>
      <c r="G126" s="5">
        <v>0</v>
      </c>
      <c r="H126" s="6">
        <f>MIN(Notes!$B$3,MAX(1,F126+G126))</f>
        <v>3</v>
      </c>
      <c r="I126" s="2">
        <f t="shared" si="3"/>
        <v>55</v>
      </c>
      <c r="J126" s="2">
        <f>MIN(E126+H126,Notes!$B$2)</f>
        <v>61</v>
      </c>
      <c r="K126" s="7"/>
    </row>
    <row r="127" spans="1:11" x14ac:dyDescent="0.25">
      <c r="A127" s="2">
        <f t="shared" si="2"/>
        <v>100</v>
      </c>
      <c r="B127" s="3" t="s">
        <v>145</v>
      </c>
      <c r="C127" s="3" t="s">
        <v>12</v>
      </c>
      <c r="D127" s="4">
        <v>0.93</v>
      </c>
      <c r="E127" s="5">
        <v>59</v>
      </c>
      <c r="F127" s="2">
        <f>IF(D127&lt;Notes!$B$6,Notes!$C$6,IF(D127&lt;Notes!$B$7,Notes!$C$7,IF(D127&lt;Notes!$B$8,Notes!$C$8,Notes!$C$9)))</f>
        <v>5</v>
      </c>
      <c r="G127" s="5">
        <v>0</v>
      </c>
      <c r="H127" s="6">
        <f>MIN(Notes!$B$3,MAX(1,F127+G127))</f>
        <v>5</v>
      </c>
      <c r="I127" s="2">
        <f t="shared" si="3"/>
        <v>54</v>
      </c>
      <c r="J127" s="2">
        <f>MIN(E127+H127,Notes!$B$2)</f>
        <v>64</v>
      </c>
      <c r="K127" s="7"/>
    </row>
    <row r="128" spans="1:11" x14ac:dyDescent="0.25">
      <c r="A128" s="2">
        <f t="shared" si="2"/>
        <v>109</v>
      </c>
      <c r="B128" s="10" t="s">
        <v>146</v>
      </c>
      <c r="C128" s="10" t="s">
        <v>30</v>
      </c>
      <c r="D128" s="4">
        <v>5.8</v>
      </c>
      <c r="E128" s="5">
        <v>56</v>
      </c>
      <c r="F128" s="2">
        <f>IF(D128&lt;Notes!$B$6,Notes!$C$6,IF(D128&lt;Notes!$B$7,Notes!$C$7,IF(D128&lt;Notes!$B$8,Notes!$C$8,Notes!$C$9)))</f>
        <v>4</v>
      </c>
      <c r="G128" s="5">
        <v>0</v>
      </c>
      <c r="H128" s="6">
        <f>MIN(Notes!$B$3,MAX(1,F128+G128))</f>
        <v>4</v>
      </c>
      <c r="I128" s="2">
        <f t="shared" si="3"/>
        <v>52</v>
      </c>
      <c r="J128" s="2">
        <f>MIN(E128+H128,Notes!$B$2)</f>
        <v>60</v>
      </c>
      <c r="K128" s="7"/>
    </row>
    <row r="129" spans="1:11" x14ac:dyDescent="0.25">
      <c r="A129" s="2">
        <f t="shared" si="2"/>
        <v>123</v>
      </c>
      <c r="B129" s="10" t="s">
        <v>147</v>
      </c>
      <c r="C129" s="10" t="s">
        <v>30</v>
      </c>
      <c r="D129" s="4">
        <v>35.5</v>
      </c>
      <c r="E129" s="5">
        <v>54</v>
      </c>
      <c r="F129" s="2">
        <f>IF(D129&lt;Notes!$B$6,Notes!$C$6,IF(D129&lt;Notes!$B$7,Notes!$C$7,IF(D129&lt;Notes!$B$8,Notes!$C$8,Notes!$C$9)))</f>
        <v>3</v>
      </c>
      <c r="G129" s="5">
        <v>0</v>
      </c>
      <c r="H129" s="6">
        <f>MIN(Notes!$B$3,MAX(1,F129+G129))</f>
        <v>3</v>
      </c>
      <c r="I129" s="2">
        <f t="shared" si="3"/>
        <v>51</v>
      </c>
      <c r="J129" s="2">
        <f>MIN(E129+H129,Notes!$B$2)</f>
        <v>57</v>
      </c>
      <c r="K129" s="7"/>
    </row>
    <row r="130" spans="1:11" x14ac:dyDescent="0.25">
      <c r="A130" s="2">
        <f t="shared" ref="A130:A193" si="4">RANK(E130,$E$2:$E$212,0)</f>
        <v>127</v>
      </c>
      <c r="B130" s="9" t="s">
        <v>148</v>
      </c>
      <c r="C130" s="9" t="s">
        <v>22</v>
      </c>
      <c r="D130" s="4">
        <v>27</v>
      </c>
      <c r="E130" s="5">
        <v>53</v>
      </c>
      <c r="F130" s="2">
        <f>IF(D130&lt;Notes!$B$6,Notes!$C$6,IF(D130&lt;Notes!$B$7,Notes!$C$7,IF(D130&lt;Notes!$B$8,Notes!$C$8,Notes!$C$9)))</f>
        <v>3</v>
      </c>
      <c r="G130" s="5">
        <v>0</v>
      </c>
      <c r="H130" s="6">
        <f>MIN(Notes!$B$3,MAX(1,F130+G130))</f>
        <v>3</v>
      </c>
      <c r="I130" s="2">
        <f t="shared" ref="I130:I193" si="5">E130-H130</f>
        <v>50</v>
      </c>
      <c r="J130" s="2">
        <f>MIN(E130+H130,Notes!$B$2)</f>
        <v>56</v>
      </c>
      <c r="K130" s="7"/>
    </row>
    <row r="131" spans="1:11" x14ac:dyDescent="0.25">
      <c r="A131" s="2">
        <f t="shared" si="4"/>
        <v>123</v>
      </c>
      <c r="B131" s="9" t="s">
        <v>149</v>
      </c>
      <c r="C131" s="9" t="s">
        <v>22</v>
      </c>
      <c r="D131" s="4">
        <v>14.3</v>
      </c>
      <c r="E131" s="5">
        <v>54</v>
      </c>
      <c r="F131" s="2">
        <f>IF(D131&lt;Notes!$B$6,Notes!$C$6,IF(D131&lt;Notes!$B$7,Notes!$C$7,IF(D131&lt;Notes!$B$8,Notes!$C$8,Notes!$C$9)))</f>
        <v>4</v>
      </c>
      <c r="G131" s="5">
        <v>0</v>
      </c>
      <c r="H131" s="6">
        <f>MIN(Notes!$B$3,MAX(1,F131+G131))</f>
        <v>4</v>
      </c>
      <c r="I131" s="2">
        <f t="shared" si="5"/>
        <v>50</v>
      </c>
      <c r="J131" s="2">
        <f>MIN(E131+H131,Notes!$B$2)</f>
        <v>58</v>
      </c>
      <c r="K131" s="7"/>
    </row>
    <row r="132" spans="1:11" x14ac:dyDescent="0.25">
      <c r="A132" s="2">
        <f t="shared" si="4"/>
        <v>109</v>
      </c>
      <c r="B132" s="11" t="s">
        <v>150</v>
      </c>
      <c r="C132" s="11" t="s">
        <v>33</v>
      </c>
      <c r="D132" s="4">
        <v>7</v>
      </c>
      <c r="E132" s="5">
        <v>56</v>
      </c>
      <c r="F132" s="2">
        <f>IF(D132&lt;Notes!$B$6,Notes!$C$6,IF(D132&lt;Notes!$B$7,Notes!$C$7,IF(D132&lt;Notes!$B$8,Notes!$C$8,Notes!$C$9)))</f>
        <v>4</v>
      </c>
      <c r="G132" s="5">
        <v>0</v>
      </c>
      <c r="H132" s="6">
        <f>MIN(Notes!$B$3,MAX(1,F132+G132))</f>
        <v>4</v>
      </c>
      <c r="I132" s="2">
        <f t="shared" si="5"/>
        <v>52</v>
      </c>
      <c r="J132" s="2">
        <f>MIN(E132+H132,Notes!$B$2)</f>
        <v>60</v>
      </c>
      <c r="K132" s="7"/>
    </row>
    <row r="133" spans="1:11" x14ac:dyDescent="0.25">
      <c r="A133" s="2">
        <f t="shared" si="4"/>
        <v>133</v>
      </c>
      <c r="B133" s="10" t="s">
        <v>151</v>
      </c>
      <c r="C133" s="10" t="s">
        <v>30</v>
      </c>
      <c r="D133" s="4">
        <v>4.9000000000000004</v>
      </c>
      <c r="E133" s="5">
        <v>50</v>
      </c>
      <c r="F133" s="2">
        <f>IF(D133&lt;Notes!$B$6,Notes!$C$6,IF(D133&lt;Notes!$B$7,Notes!$C$7,IF(D133&lt;Notes!$B$8,Notes!$C$8,Notes!$C$9)))</f>
        <v>5</v>
      </c>
      <c r="G133" s="5">
        <v>0</v>
      </c>
      <c r="H133" s="6">
        <f>MIN(Notes!$B$3,MAX(1,F133+G133))</f>
        <v>5</v>
      </c>
      <c r="I133" s="2">
        <f t="shared" si="5"/>
        <v>45</v>
      </c>
      <c r="J133" s="2">
        <f>MIN(E133+H133,Notes!$B$2)</f>
        <v>55</v>
      </c>
      <c r="K133" s="7"/>
    </row>
    <row r="134" spans="1:11" x14ac:dyDescent="0.25">
      <c r="A134" s="2">
        <f t="shared" si="4"/>
        <v>133</v>
      </c>
      <c r="B134" s="9" t="s">
        <v>152</v>
      </c>
      <c r="C134" s="9" t="s">
        <v>22</v>
      </c>
      <c r="D134" s="4">
        <v>14</v>
      </c>
      <c r="E134" s="5">
        <v>50</v>
      </c>
      <c r="F134" s="2">
        <f>IF(D134&lt;Notes!$B$6,Notes!$C$6,IF(D134&lt;Notes!$B$7,Notes!$C$7,IF(D134&lt;Notes!$B$8,Notes!$C$8,Notes!$C$9)))</f>
        <v>4</v>
      </c>
      <c r="G134" s="5">
        <v>0</v>
      </c>
      <c r="H134" s="6">
        <f>MIN(Notes!$B$3,MAX(1,F134+G134))</f>
        <v>4</v>
      </c>
      <c r="I134" s="2">
        <f t="shared" si="5"/>
        <v>46</v>
      </c>
      <c r="J134" s="2">
        <f>MIN(E134+H134,Notes!$B$2)</f>
        <v>54</v>
      </c>
      <c r="K134" s="7"/>
    </row>
    <row r="135" spans="1:11" x14ac:dyDescent="0.25">
      <c r="A135" s="2">
        <f t="shared" si="4"/>
        <v>107</v>
      </c>
      <c r="B135" s="9" t="s">
        <v>153</v>
      </c>
      <c r="C135" s="9" t="s">
        <v>22</v>
      </c>
      <c r="D135" s="4">
        <v>21.6</v>
      </c>
      <c r="E135" s="5">
        <v>57</v>
      </c>
      <c r="F135" s="2">
        <f>IF(D135&lt;Notes!$B$6,Notes!$C$6,IF(D135&lt;Notes!$B$7,Notes!$C$7,IF(D135&lt;Notes!$B$8,Notes!$C$8,Notes!$C$9)))</f>
        <v>3</v>
      </c>
      <c r="G135" s="5">
        <v>0</v>
      </c>
      <c r="H135" s="6">
        <f>MIN(Notes!$B$3,MAX(1,F135+G135))</f>
        <v>3</v>
      </c>
      <c r="I135" s="2">
        <f t="shared" si="5"/>
        <v>54</v>
      </c>
      <c r="J135" s="2">
        <f>MIN(E135+H135,Notes!$B$2)</f>
        <v>60</v>
      </c>
      <c r="K135" s="7"/>
    </row>
    <row r="136" spans="1:11" x14ac:dyDescent="0.25">
      <c r="A136" s="2">
        <f t="shared" si="4"/>
        <v>100</v>
      </c>
      <c r="B136" s="11" t="s">
        <v>154</v>
      </c>
      <c r="C136" s="11" t="s">
        <v>33</v>
      </c>
      <c r="D136" s="4">
        <v>11.4</v>
      </c>
      <c r="E136" s="5">
        <v>59</v>
      </c>
      <c r="F136" s="2">
        <f>IF(D136&lt;Notes!$B$6,Notes!$C$6,IF(D136&lt;Notes!$B$7,Notes!$C$7,IF(D136&lt;Notes!$B$8,Notes!$C$8,Notes!$C$9)))</f>
        <v>4</v>
      </c>
      <c r="G136" s="5">
        <v>0</v>
      </c>
      <c r="H136" s="6">
        <f>MIN(Notes!$B$3,MAX(1,F136+G136))</f>
        <v>4</v>
      </c>
      <c r="I136" s="2">
        <f t="shared" si="5"/>
        <v>55</v>
      </c>
      <c r="J136" s="2">
        <f>MIN(E136+H136,Notes!$B$2)</f>
        <v>63</v>
      </c>
      <c r="K136" s="7"/>
    </row>
    <row r="137" spans="1:11" x14ac:dyDescent="0.25">
      <c r="A137" s="2">
        <f t="shared" si="4"/>
        <v>113</v>
      </c>
      <c r="B137" s="3" t="s">
        <v>155</v>
      </c>
      <c r="C137" s="3" t="s">
        <v>12</v>
      </c>
      <c r="D137" s="4">
        <v>1.37</v>
      </c>
      <c r="E137" s="5">
        <v>55</v>
      </c>
      <c r="F137" s="2">
        <f>IF(D137&lt;Notes!$B$6,Notes!$C$6,IF(D137&lt;Notes!$B$7,Notes!$C$7,IF(D137&lt;Notes!$B$8,Notes!$C$8,Notes!$C$9)))</f>
        <v>5</v>
      </c>
      <c r="G137" s="5">
        <v>0</v>
      </c>
      <c r="H137" s="6">
        <f>MIN(Notes!$B$3,MAX(1,F137+G137))</f>
        <v>5</v>
      </c>
      <c r="I137" s="2">
        <f t="shared" si="5"/>
        <v>50</v>
      </c>
      <c r="J137" s="2">
        <f>MIN(E137+H137,Notes!$B$2)</f>
        <v>60</v>
      </c>
      <c r="K137" s="7"/>
    </row>
    <row r="138" spans="1:11" x14ac:dyDescent="0.25">
      <c r="A138" s="2">
        <f t="shared" si="4"/>
        <v>133</v>
      </c>
      <c r="B138" s="10" t="s">
        <v>156</v>
      </c>
      <c r="C138" s="10" t="s">
        <v>30</v>
      </c>
      <c r="D138" s="4">
        <v>1450</v>
      </c>
      <c r="E138" s="5">
        <v>50</v>
      </c>
      <c r="F138" s="2">
        <f>IF(D138&lt;Notes!$B$6,Notes!$C$6,IF(D138&lt;Notes!$B$7,Notes!$C$7,IF(D138&lt;Notes!$B$8,Notes!$C$8,Notes!$C$9)))</f>
        <v>2</v>
      </c>
      <c r="G138" s="5">
        <v>1</v>
      </c>
      <c r="H138" s="6">
        <f>MIN(Notes!$B$3,MAX(1,F138+G138))</f>
        <v>3</v>
      </c>
      <c r="I138" s="2">
        <f t="shared" si="5"/>
        <v>47</v>
      </c>
      <c r="J138" s="2">
        <f>MIN(E138+H138,Notes!$B$2)</f>
        <v>53</v>
      </c>
      <c r="K138" s="7" t="s">
        <v>37</v>
      </c>
    </row>
    <row r="139" spans="1:11" x14ac:dyDescent="0.25">
      <c r="A139" s="2">
        <f t="shared" si="4"/>
        <v>109</v>
      </c>
      <c r="B139" s="9" t="s">
        <v>157</v>
      </c>
      <c r="C139" s="9" t="s">
        <v>22</v>
      </c>
      <c r="D139" s="4">
        <v>2.5</v>
      </c>
      <c r="E139" s="5">
        <v>56</v>
      </c>
      <c r="F139" s="2">
        <f>IF(D139&lt;Notes!$B$6,Notes!$C$6,IF(D139&lt;Notes!$B$7,Notes!$C$7,IF(D139&lt;Notes!$B$8,Notes!$C$8,Notes!$C$9)))</f>
        <v>5</v>
      </c>
      <c r="G139" s="5">
        <v>0</v>
      </c>
      <c r="H139" s="6">
        <f>MIN(Notes!$B$3,MAX(1,F139+G139))</f>
        <v>5</v>
      </c>
      <c r="I139" s="2">
        <f t="shared" si="5"/>
        <v>51</v>
      </c>
      <c r="J139" s="2">
        <f>MIN(E139+H139,Notes!$B$2)</f>
        <v>61</v>
      </c>
      <c r="K139" s="7"/>
    </row>
    <row r="140" spans="1:11" x14ac:dyDescent="0.25">
      <c r="A140" s="2">
        <f t="shared" si="4"/>
        <v>129</v>
      </c>
      <c r="B140" s="9" t="s">
        <v>158</v>
      </c>
      <c r="C140" s="9" t="s">
        <v>22</v>
      </c>
      <c r="D140" s="4">
        <v>5.5</v>
      </c>
      <c r="E140" s="5">
        <v>52</v>
      </c>
      <c r="F140" s="2">
        <f>IF(D140&lt;Notes!$B$6,Notes!$C$6,IF(D140&lt;Notes!$B$7,Notes!$C$7,IF(D140&lt;Notes!$B$8,Notes!$C$8,Notes!$C$9)))</f>
        <v>4</v>
      </c>
      <c r="G140" s="5">
        <v>0</v>
      </c>
      <c r="H140" s="6">
        <f>MIN(Notes!$B$3,MAX(1,F140+G140))</f>
        <v>4</v>
      </c>
      <c r="I140" s="2">
        <f t="shared" si="5"/>
        <v>48</v>
      </c>
      <c r="J140" s="2">
        <f>MIN(E140+H140,Notes!$B$2)</f>
        <v>56</v>
      </c>
      <c r="K140" s="7"/>
    </row>
    <row r="141" spans="1:11" x14ac:dyDescent="0.25">
      <c r="A141" s="2">
        <f t="shared" si="4"/>
        <v>123</v>
      </c>
      <c r="B141" s="9" t="s">
        <v>159</v>
      </c>
      <c r="C141" s="9" t="s">
        <v>22</v>
      </c>
      <c r="D141" s="4">
        <v>5.6</v>
      </c>
      <c r="E141" s="5">
        <v>54</v>
      </c>
      <c r="F141" s="2">
        <f>IF(D141&lt;Notes!$B$6,Notes!$C$6,IF(D141&lt;Notes!$B$7,Notes!$C$7,IF(D141&lt;Notes!$B$8,Notes!$C$8,Notes!$C$9)))</f>
        <v>4</v>
      </c>
      <c r="G141" s="5">
        <v>0</v>
      </c>
      <c r="H141" s="6">
        <f>MIN(Notes!$B$3,MAX(1,F141+G141))</f>
        <v>4</v>
      </c>
      <c r="I141" s="2">
        <f t="shared" si="5"/>
        <v>50</v>
      </c>
      <c r="J141" s="2">
        <f>MIN(E141+H141,Notes!$B$2)</f>
        <v>58</v>
      </c>
      <c r="K141" s="7"/>
    </row>
    <row r="142" spans="1:11" x14ac:dyDescent="0.25">
      <c r="A142" s="2">
        <f t="shared" si="4"/>
        <v>147</v>
      </c>
      <c r="B142" s="3" t="s">
        <v>160</v>
      </c>
      <c r="C142" s="3" t="s">
        <v>12</v>
      </c>
      <c r="D142" s="4">
        <v>5.5E-2</v>
      </c>
      <c r="E142" s="5">
        <v>42</v>
      </c>
      <c r="F142" s="2">
        <f>IF(D142&lt;Notes!$B$6,Notes!$C$6,IF(D142&lt;Notes!$B$7,Notes!$C$7,IF(D142&lt;Notes!$B$8,Notes!$C$8,Notes!$C$9)))</f>
        <v>5</v>
      </c>
      <c r="G142" s="5">
        <v>0</v>
      </c>
      <c r="H142" s="6">
        <f>MIN(Notes!$B$3,MAX(1,F142+G142))</f>
        <v>5</v>
      </c>
      <c r="I142" s="2">
        <f t="shared" si="5"/>
        <v>37</v>
      </c>
      <c r="J142" s="2">
        <f>MIN(E142+H142,Notes!$B$2)</f>
        <v>47</v>
      </c>
      <c r="K142" s="7"/>
    </row>
    <row r="143" spans="1:11" x14ac:dyDescent="0.25">
      <c r="A143" s="2">
        <f t="shared" si="4"/>
        <v>133</v>
      </c>
      <c r="B143" s="3" t="s">
        <v>161</v>
      </c>
      <c r="C143" s="3" t="s">
        <v>12</v>
      </c>
      <c r="D143" s="4">
        <v>1.86</v>
      </c>
      <c r="E143" s="5">
        <v>50</v>
      </c>
      <c r="F143" s="2">
        <f>IF(D143&lt;Notes!$B$6,Notes!$C$6,IF(D143&lt;Notes!$B$7,Notes!$C$7,IF(D143&lt;Notes!$B$8,Notes!$C$8,Notes!$C$9)))</f>
        <v>5</v>
      </c>
      <c r="G143" s="5">
        <v>0</v>
      </c>
      <c r="H143" s="6">
        <f>MIN(Notes!$B$3,MAX(1,F143+G143))</f>
        <v>5</v>
      </c>
      <c r="I143" s="2">
        <f t="shared" si="5"/>
        <v>45</v>
      </c>
      <c r="J143" s="2">
        <f>MIN(E143+H143,Notes!$B$2)</f>
        <v>55</v>
      </c>
      <c r="K143" s="7"/>
    </row>
    <row r="144" spans="1:11" x14ac:dyDescent="0.25">
      <c r="A144" s="2">
        <f t="shared" si="4"/>
        <v>133</v>
      </c>
      <c r="B144" s="3" t="s">
        <v>162</v>
      </c>
      <c r="C144" s="3" t="s">
        <v>12</v>
      </c>
      <c r="D144" s="4">
        <v>2.89</v>
      </c>
      <c r="E144" s="5">
        <v>50</v>
      </c>
      <c r="F144" s="2">
        <f>IF(D144&lt;Notes!$B$6,Notes!$C$6,IF(D144&lt;Notes!$B$7,Notes!$C$7,IF(D144&lt;Notes!$B$8,Notes!$C$8,Notes!$C$9)))</f>
        <v>5</v>
      </c>
      <c r="G144" s="5">
        <v>0</v>
      </c>
      <c r="H144" s="6">
        <f>MIN(Notes!$B$3,MAX(1,F144+G144))</f>
        <v>5</v>
      </c>
      <c r="I144" s="2">
        <f t="shared" si="5"/>
        <v>45</v>
      </c>
      <c r="J144" s="2">
        <f>MIN(E144+H144,Notes!$B$2)</f>
        <v>55</v>
      </c>
      <c r="K144" s="7"/>
    </row>
    <row r="145" spans="1:11" x14ac:dyDescent="0.25">
      <c r="A145" s="2">
        <f t="shared" si="4"/>
        <v>109</v>
      </c>
      <c r="B145" s="3" t="s">
        <v>163</v>
      </c>
      <c r="C145" s="3" t="s">
        <v>12</v>
      </c>
      <c r="D145" s="4">
        <v>2.4</v>
      </c>
      <c r="E145" s="5">
        <v>56</v>
      </c>
      <c r="F145" s="2">
        <f>IF(D145&lt;Notes!$B$6,Notes!$C$6,IF(D145&lt;Notes!$B$7,Notes!$C$7,IF(D145&lt;Notes!$B$8,Notes!$C$8,Notes!$C$9)))</f>
        <v>5</v>
      </c>
      <c r="G145" s="5">
        <v>0</v>
      </c>
      <c r="H145" s="6">
        <f>MIN(Notes!$B$3,MAX(1,F145+G145))</f>
        <v>5</v>
      </c>
      <c r="I145" s="2">
        <f t="shared" si="5"/>
        <v>51</v>
      </c>
      <c r="J145" s="2">
        <f>MIN(E145+H145,Notes!$B$2)</f>
        <v>61</v>
      </c>
      <c r="K145" s="7"/>
    </row>
    <row r="146" spans="1:11" x14ac:dyDescent="0.25">
      <c r="A146" s="2">
        <f t="shared" si="4"/>
        <v>133</v>
      </c>
      <c r="B146" s="10" t="s">
        <v>164</v>
      </c>
      <c r="C146" s="10" t="s">
        <v>30</v>
      </c>
      <c r="D146" s="4">
        <v>116</v>
      </c>
      <c r="E146" s="5">
        <v>50</v>
      </c>
      <c r="F146" s="2">
        <f>IF(D146&lt;Notes!$B$6,Notes!$C$6,IF(D146&lt;Notes!$B$7,Notes!$C$7,IF(D146&lt;Notes!$B$8,Notes!$C$8,Notes!$C$9)))</f>
        <v>2</v>
      </c>
      <c r="G146" s="5">
        <v>0</v>
      </c>
      <c r="H146" s="6">
        <f>MIN(Notes!$B$3,MAX(1,F146+G146))</f>
        <v>2</v>
      </c>
      <c r="I146" s="2">
        <f t="shared" si="5"/>
        <v>48</v>
      </c>
      <c r="J146" s="2">
        <f>MIN(E146+H146,Notes!$B$2)</f>
        <v>52</v>
      </c>
      <c r="K146" s="7"/>
    </row>
    <row r="147" spans="1:11" x14ac:dyDescent="0.25">
      <c r="A147" s="2">
        <f t="shared" si="4"/>
        <v>148</v>
      </c>
      <c r="B147" s="10" t="s">
        <v>165</v>
      </c>
      <c r="C147" s="10" t="s">
        <v>30</v>
      </c>
      <c r="D147" s="4">
        <v>7.5</v>
      </c>
      <c r="E147" s="5">
        <v>40</v>
      </c>
      <c r="F147" s="2">
        <f>IF(D147&lt;Notes!$B$6,Notes!$C$6,IF(D147&lt;Notes!$B$7,Notes!$C$7,IF(D147&lt;Notes!$B$8,Notes!$C$8,Notes!$C$9)))</f>
        <v>4</v>
      </c>
      <c r="G147" s="5">
        <v>0</v>
      </c>
      <c r="H147" s="6">
        <f>MIN(Notes!$B$3,MAX(1,F147+G147))</f>
        <v>4</v>
      </c>
      <c r="I147" s="2">
        <f t="shared" si="5"/>
        <v>36</v>
      </c>
      <c r="J147" s="2">
        <f>MIN(E147+H147,Notes!$B$2)</f>
        <v>44</v>
      </c>
      <c r="K147" s="7"/>
    </row>
    <row r="148" spans="1:11" x14ac:dyDescent="0.25">
      <c r="A148" s="2">
        <f t="shared" si="4"/>
        <v>159</v>
      </c>
      <c r="B148" s="9" t="s">
        <v>166</v>
      </c>
      <c r="C148" s="9" t="s">
        <v>22</v>
      </c>
      <c r="D148" s="4">
        <v>132</v>
      </c>
      <c r="E148" s="5">
        <v>38</v>
      </c>
      <c r="F148" s="2">
        <f>IF(D148&lt;Notes!$B$6,Notes!$C$6,IF(D148&lt;Notes!$B$7,Notes!$C$7,IF(D148&lt;Notes!$B$8,Notes!$C$8,Notes!$C$9)))</f>
        <v>2</v>
      </c>
      <c r="G148" s="5">
        <v>0</v>
      </c>
      <c r="H148" s="6">
        <f>MIN(Notes!$B$3,MAX(1,F148+G148))</f>
        <v>2</v>
      </c>
      <c r="I148" s="2">
        <f t="shared" si="5"/>
        <v>36</v>
      </c>
      <c r="J148" s="2">
        <f>MIN(E148+H148,Notes!$B$2)</f>
        <v>40</v>
      </c>
      <c r="K148" s="7"/>
    </row>
    <row r="149" spans="1:11" x14ac:dyDescent="0.25">
      <c r="A149" s="2">
        <f t="shared" si="4"/>
        <v>133</v>
      </c>
      <c r="B149" s="11" t="s">
        <v>167</v>
      </c>
      <c r="C149" s="11" t="s">
        <v>33</v>
      </c>
      <c r="D149" s="4">
        <v>10</v>
      </c>
      <c r="E149" s="5">
        <v>50</v>
      </c>
      <c r="F149" s="2">
        <f>IF(D149&lt;Notes!$B$6,Notes!$C$6,IF(D149&lt;Notes!$B$7,Notes!$C$7,IF(D149&lt;Notes!$B$8,Notes!$C$8,Notes!$C$9)))</f>
        <v>4</v>
      </c>
      <c r="G149" s="5">
        <v>0</v>
      </c>
      <c r="H149" s="6">
        <f>MIN(Notes!$B$3,MAX(1,F149+G149))</f>
        <v>4</v>
      </c>
      <c r="I149" s="2">
        <f t="shared" si="5"/>
        <v>46</v>
      </c>
      <c r="J149" s="2">
        <f>MIN(E149+H149,Notes!$B$2)</f>
        <v>54</v>
      </c>
      <c r="K149" s="7"/>
    </row>
    <row r="150" spans="1:11" x14ac:dyDescent="0.25">
      <c r="A150" s="2">
        <f t="shared" si="4"/>
        <v>163</v>
      </c>
      <c r="B150" s="10" t="s">
        <v>168</v>
      </c>
      <c r="C150" s="10" t="s">
        <v>30</v>
      </c>
      <c r="D150" s="4">
        <v>7.5</v>
      </c>
      <c r="E150" s="5">
        <v>35</v>
      </c>
      <c r="F150" s="2">
        <f>IF(D150&lt;Notes!$B$6,Notes!$C$6,IF(D150&lt;Notes!$B$7,Notes!$C$7,IF(D150&lt;Notes!$B$8,Notes!$C$8,Notes!$C$9)))</f>
        <v>4</v>
      </c>
      <c r="G150" s="5">
        <v>0</v>
      </c>
      <c r="H150" s="6">
        <f>MIN(Notes!$B$3,MAX(1,F150+G150))</f>
        <v>4</v>
      </c>
      <c r="I150" s="2">
        <f t="shared" si="5"/>
        <v>31</v>
      </c>
      <c r="J150" s="2">
        <f>MIN(E150+H150,Notes!$B$2)</f>
        <v>39</v>
      </c>
      <c r="K150" s="7"/>
    </row>
    <row r="151" spans="1:11" x14ac:dyDescent="0.25">
      <c r="A151" s="2">
        <f t="shared" si="4"/>
        <v>163</v>
      </c>
      <c r="B151" s="9" t="s">
        <v>169</v>
      </c>
      <c r="C151" s="9" t="s">
        <v>22</v>
      </c>
      <c r="D151" s="4">
        <v>2.2999999999999998</v>
      </c>
      <c r="E151" s="5">
        <v>35</v>
      </c>
      <c r="F151" s="2">
        <f>IF(D151&lt;Notes!$B$6,Notes!$C$6,IF(D151&lt;Notes!$B$7,Notes!$C$7,IF(D151&lt;Notes!$B$8,Notes!$C$8,Notes!$C$9)))</f>
        <v>5</v>
      </c>
      <c r="G151" s="5">
        <v>0</v>
      </c>
      <c r="H151" s="6">
        <f>MIN(Notes!$B$3,MAX(1,F151+G151))</f>
        <v>5</v>
      </c>
      <c r="I151" s="2">
        <f t="shared" si="5"/>
        <v>30</v>
      </c>
      <c r="J151" s="2">
        <f>MIN(E151+H151,Notes!$B$2)</f>
        <v>40</v>
      </c>
      <c r="K151" s="7"/>
    </row>
    <row r="152" spans="1:11" x14ac:dyDescent="0.25">
      <c r="A152" s="2">
        <f t="shared" si="4"/>
        <v>163</v>
      </c>
      <c r="B152" s="3" t="s">
        <v>170</v>
      </c>
      <c r="C152" s="3" t="s">
        <v>12</v>
      </c>
      <c r="D152" s="4">
        <v>0.56000000000000005</v>
      </c>
      <c r="E152" s="5">
        <v>35</v>
      </c>
      <c r="F152" s="2">
        <f>IF(D152&lt;Notes!$B$6,Notes!$C$6,IF(D152&lt;Notes!$B$7,Notes!$C$7,IF(D152&lt;Notes!$B$8,Notes!$C$8,Notes!$C$9)))</f>
        <v>5</v>
      </c>
      <c r="G152" s="5">
        <v>0</v>
      </c>
      <c r="H152" s="6">
        <f>MIN(Notes!$B$3,MAX(1,F152+G152))</f>
        <v>5</v>
      </c>
      <c r="I152" s="2">
        <f t="shared" si="5"/>
        <v>30</v>
      </c>
      <c r="J152" s="2">
        <f>MIN(E152+H152,Notes!$B$2)</f>
        <v>40</v>
      </c>
      <c r="K152" s="7"/>
    </row>
    <row r="153" spans="1:11" x14ac:dyDescent="0.25">
      <c r="A153" s="2">
        <f t="shared" si="4"/>
        <v>148</v>
      </c>
      <c r="B153" s="10" t="s">
        <v>171</v>
      </c>
      <c r="C153" s="10" t="s">
        <v>30</v>
      </c>
      <c r="D153" s="4">
        <v>40.6</v>
      </c>
      <c r="E153" s="5">
        <v>40</v>
      </c>
      <c r="F153" s="2">
        <f>IF(D153&lt;Notes!$B$6,Notes!$C$6,IF(D153&lt;Notes!$B$7,Notes!$C$7,IF(D153&lt;Notes!$B$8,Notes!$C$8,Notes!$C$9)))</f>
        <v>2</v>
      </c>
      <c r="G153" s="5">
        <v>0</v>
      </c>
      <c r="H153" s="6">
        <f>MIN(Notes!$B$3,MAX(1,F153+G153))</f>
        <v>2</v>
      </c>
      <c r="I153" s="2">
        <f t="shared" si="5"/>
        <v>38</v>
      </c>
      <c r="J153" s="2">
        <f>MIN(E153+H153,Notes!$B$2)</f>
        <v>42</v>
      </c>
      <c r="K153" s="7"/>
    </row>
    <row r="154" spans="1:11" x14ac:dyDescent="0.25">
      <c r="A154" s="2">
        <f t="shared" si="4"/>
        <v>148</v>
      </c>
      <c r="B154" s="10" t="s">
        <v>172</v>
      </c>
      <c r="C154" s="10" t="s">
        <v>30</v>
      </c>
      <c r="D154" s="4">
        <v>54.5</v>
      </c>
      <c r="E154" s="5">
        <v>40</v>
      </c>
      <c r="F154" s="2">
        <f>IF(D154&lt;Notes!$B$6,Notes!$C$6,IF(D154&lt;Notes!$B$7,Notes!$C$7,IF(D154&lt;Notes!$B$8,Notes!$C$8,Notes!$C$9)))</f>
        <v>2</v>
      </c>
      <c r="G154" s="5">
        <v>0</v>
      </c>
      <c r="H154" s="6">
        <f>MIN(Notes!$B$3,MAX(1,F154+G154))</f>
        <v>2</v>
      </c>
      <c r="I154" s="2">
        <f t="shared" si="5"/>
        <v>38</v>
      </c>
      <c r="J154" s="2">
        <f>MIN(E154+H154,Notes!$B$2)</f>
        <v>42</v>
      </c>
      <c r="K154" s="7"/>
    </row>
    <row r="155" spans="1:11" x14ac:dyDescent="0.25">
      <c r="A155" s="2">
        <f t="shared" si="4"/>
        <v>148</v>
      </c>
      <c r="B155" s="9" t="s">
        <v>173</v>
      </c>
      <c r="C155" s="9" t="s">
        <v>22</v>
      </c>
      <c r="D155" s="4">
        <v>1.24</v>
      </c>
      <c r="E155" s="5">
        <v>40</v>
      </c>
      <c r="F155" s="2">
        <f>IF(D155&lt;Notes!$B$6,Notes!$C$6,IF(D155&lt;Notes!$B$7,Notes!$C$7,IF(D155&lt;Notes!$B$8,Notes!$C$8,Notes!$C$9)))</f>
        <v>5</v>
      </c>
      <c r="G155" s="5">
        <v>0</v>
      </c>
      <c r="H155" s="6">
        <f>MIN(Notes!$B$3,MAX(1,F155+G155))</f>
        <v>5</v>
      </c>
      <c r="I155" s="2">
        <f t="shared" si="5"/>
        <v>35</v>
      </c>
      <c r="J155" s="2">
        <f>MIN(E155+H155,Notes!$B$2)</f>
        <v>45</v>
      </c>
      <c r="K155" s="7"/>
    </row>
    <row r="156" spans="1:11" x14ac:dyDescent="0.25">
      <c r="A156" s="2">
        <f t="shared" si="4"/>
        <v>148</v>
      </c>
      <c r="B156" s="11" t="s">
        <v>174</v>
      </c>
      <c r="C156" s="11" t="s">
        <v>33</v>
      </c>
      <c r="D156" s="4">
        <v>0.83</v>
      </c>
      <c r="E156" s="5">
        <v>40</v>
      </c>
      <c r="F156" s="2">
        <f>IF(D156&lt;Notes!$B$6,Notes!$C$6,IF(D156&lt;Notes!$B$7,Notes!$C$7,IF(D156&lt;Notes!$B$8,Notes!$C$8,Notes!$C$9)))</f>
        <v>5</v>
      </c>
      <c r="G156" s="5">
        <v>0</v>
      </c>
      <c r="H156" s="6">
        <f>MIN(Notes!$B$3,MAX(1,F156+G156))</f>
        <v>5</v>
      </c>
      <c r="I156" s="2">
        <f t="shared" si="5"/>
        <v>35</v>
      </c>
      <c r="J156" s="2">
        <f>MIN(E156+H156,Notes!$B$2)</f>
        <v>45</v>
      </c>
      <c r="K156" s="7"/>
    </row>
    <row r="157" spans="1:11" x14ac:dyDescent="0.25">
      <c r="A157" s="2">
        <f t="shared" si="4"/>
        <v>192</v>
      </c>
      <c r="B157" s="12" t="s">
        <v>175</v>
      </c>
      <c r="C157" s="12" t="s">
        <v>95</v>
      </c>
      <c r="D157" s="4">
        <v>0.27</v>
      </c>
      <c r="E157" s="5">
        <v>28</v>
      </c>
      <c r="F157" s="2">
        <f>IF(D157&lt;Notes!$B$6,Notes!$C$6,IF(D157&lt;Notes!$B$7,Notes!$C$7,IF(D157&lt;Notes!$B$8,Notes!$C$8,Notes!$C$9)))</f>
        <v>5</v>
      </c>
      <c r="G157" s="5">
        <v>0</v>
      </c>
      <c r="H157" s="6">
        <f>MIN(Notes!$B$3,MAX(1,F157+G157))</f>
        <v>5</v>
      </c>
      <c r="I157" s="2">
        <f t="shared" si="5"/>
        <v>23</v>
      </c>
      <c r="J157" s="2">
        <f>MIN(E157+H157,Notes!$B$2)</f>
        <v>33</v>
      </c>
      <c r="K157" s="7"/>
    </row>
    <row r="158" spans="1:11" x14ac:dyDescent="0.25">
      <c r="A158" s="2">
        <f t="shared" si="4"/>
        <v>148</v>
      </c>
      <c r="B158" s="10" t="s">
        <v>176</v>
      </c>
      <c r="C158" s="10" t="s">
        <v>30</v>
      </c>
      <c r="D158" s="4">
        <v>42.6</v>
      </c>
      <c r="E158" s="5">
        <v>40</v>
      </c>
      <c r="F158" s="2">
        <f>IF(D158&lt;Notes!$B$6,Notes!$C$6,IF(D158&lt;Notes!$B$7,Notes!$C$7,IF(D158&lt;Notes!$B$8,Notes!$C$8,Notes!$C$9)))</f>
        <v>2</v>
      </c>
      <c r="G158" s="5">
        <v>0</v>
      </c>
      <c r="H158" s="6">
        <f>MIN(Notes!$B$3,MAX(1,F158+G158))</f>
        <v>2</v>
      </c>
      <c r="I158" s="2">
        <f t="shared" si="5"/>
        <v>38</v>
      </c>
      <c r="J158" s="2">
        <f>MIN(E158+H158,Notes!$B$2)</f>
        <v>42</v>
      </c>
      <c r="K158" s="7"/>
    </row>
    <row r="159" spans="1:11" x14ac:dyDescent="0.25">
      <c r="A159" s="2">
        <f t="shared" si="4"/>
        <v>148</v>
      </c>
      <c r="B159" s="10" t="s">
        <v>177</v>
      </c>
      <c r="C159" s="10" t="s">
        <v>30</v>
      </c>
      <c r="D159" s="4">
        <v>6</v>
      </c>
      <c r="E159" s="5">
        <v>40</v>
      </c>
      <c r="F159" s="2">
        <f>IF(D159&lt;Notes!$B$6,Notes!$C$6,IF(D159&lt;Notes!$B$7,Notes!$C$7,IF(D159&lt;Notes!$B$8,Notes!$C$8,Notes!$C$9)))</f>
        <v>4</v>
      </c>
      <c r="G159" s="5">
        <v>0</v>
      </c>
      <c r="H159" s="6">
        <f>MIN(Notes!$B$3,MAX(1,F159+G159))</f>
        <v>4</v>
      </c>
      <c r="I159" s="2">
        <f t="shared" si="5"/>
        <v>36</v>
      </c>
      <c r="J159" s="2">
        <f>MIN(E159+H159,Notes!$B$2)</f>
        <v>44</v>
      </c>
      <c r="K159" s="7"/>
    </row>
    <row r="160" spans="1:11" x14ac:dyDescent="0.25">
      <c r="A160" s="2">
        <f t="shared" si="4"/>
        <v>148</v>
      </c>
      <c r="B160" s="9" t="s">
        <v>178</v>
      </c>
      <c r="C160" s="9" t="s">
        <v>22</v>
      </c>
      <c r="D160" s="4">
        <v>11.9</v>
      </c>
      <c r="E160" s="5">
        <v>40</v>
      </c>
      <c r="F160" s="2">
        <f>IF(D160&lt;Notes!$B$6,Notes!$C$6,IF(D160&lt;Notes!$B$7,Notes!$C$7,IF(D160&lt;Notes!$B$8,Notes!$C$8,Notes!$C$9)))</f>
        <v>4</v>
      </c>
      <c r="G160" s="5">
        <v>0</v>
      </c>
      <c r="H160" s="6">
        <f>MIN(Notes!$B$3,MAX(1,F160+G160))</f>
        <v>4</v>
      </c>
      <c r="I160" s="2">
        <f t="shared" si="5"/>
        <v>36</v>
      </c>
      <c r="J160" s="2">
        <f>MIN(E160+H160,Notes!$B$2)</f>
        <v>44</v>
      </c>
      <c r="K160" s="7"/>
    </row>
    <row r="161" spans="1:11" x14ac:dyDescent="0.25">
      <c r="A161" s="2">
        <f t="shared" si="4"/>
        <v>145</v>
      </c>
      <c r="B161" s="11" t="s">
        <v>179</v>
      </c>
      <c r="C161" s="11" t="s">
        <v>33</v>
      </c>
      <c r="D161" s="4">
        <v>3.2</v>
      </c>
      <c r="E161" s="5">
        <v>45</v>
      </c>
      <c r="F161" s="2">
        <f>IF(D161&lt;Notes!$B$6,Notes!$C$6,IF(D161&lt;Notes!$B$7,Notes!$C$7,IF(D161&lt;Notes!$B$8,Notes!$C$8,Notes!$C$9)))</f>
        <v>5</v>
      </c>
      <c r="G161" s="5">
        <v>0</v>
      </c>
      <c r="H161" s="6">
        <f>MIN(Notes!$B$3,MAX(1,F161+G161))</f>
        <v>5</v>
      </c>
      <c r="I161" s="2">
        <f t="shared" si="5"/>
        <v>40</v>
      </c>
      <c r="J161" s="2">
        <f>MIN(E161+H161,Notes!$B$2)</f>
        <v>50</v>
      </c>
      <c r="K161" s="7"/>
    </row>
    <row r="162" spans="1:11" x14ac:dyDescent="0.25">
      <c r="A162" s="2">
        <f t="shared" si="4"/>
        <v>189</v>
      </c>
      <c r="B162" s="11" t="s">
        <v>180</v>
      </c>
      <c r="C162" s="11" t="s">
        <v>33</v>
      </c>
      <c r="D162" s="4">
        <v>6.4000000000000001E-2</v>
      </c>
      <c r="E162" s="5">
        <v>29</v>
      </c>
      <c r="F162" s="2">
        <f>IF(D162&lt;Notes!$B$6,Notes!$C$6,IF(D162&lt;Notes!$B$7,Notes!$C$7,IF(D162&lt;Notes!$B$8,Notes!$C$8,Notes!$C$9)))</f>
        <v>5</v>
      </c>
      <c r="G162" s="5">
        <v>0</v>
      </c>
      <c r="H162" s="6">
        <f>MIN(Notes!$B$3,MAX(1,F162+G162))</f>
        <v>5</v>
      </c>
      <c r="I162" s="2">
        <f t="shared" si="5"/>
        <v>24</v>
      </c>
      <c r="J162" s="2">
        <f>MIN(E162+H162,Notes!$B$2)</f>
        <v>34</v>
      </c>
      <c r="K162" s="7"/>
    </row>
    <row r="163" spans="1:11" x14ac:dyDescent="0.25">
      <c r="A163" s="2">
        <f t="shared" si="4"/>
        <v>189</v>
      </c>
      <c r="B163" s="11" t="s">
        <v>181</v>
      </c>
      <c r="C163" s="11" t="s">
        <v>33</v>
      </c>
      <c r="D163" s="4">
        <v>4.7E-2</v>
      </c>
      <c r="E163" s="5">
        <v>29</v>
      </c>
      <c r="F163" s="2">
        <f>IF(D163&lt;Notes!$B$6,Notes!$C$6,IF(D163&lt;Notes!$B$7,Notes!$C$7,IF(D163&lt;Notes!$B$8,Notes!$C$8,Notes!$C$9)))</f>
        <v>5</v>
      </c>
      <c r="G163" s="5">
        <v>0</v>
      </c>
      <c r="H163" s="6">
        <f>MIN(Notes!$B$3,MAX(1,F163+G163))</f>
        <v>5</v>
      </c>
      <c r="I163" s="2">
        <f t="shared" si="5"/>
        <v>24</v>
      </c>
      <c r="J163" s="2">
        <f>MIN(E163+H163,Notes!$B$2)</f>
        <v>34</v>
      </c>
      <c r="K163" s="7"/>
    </row>
    <row r="164" spans="1:11" x14ac:dyDescent="0.25">
      <c r="A164" s="2">
        <f t="shared" si="4"/>
        <v>163</v>
      </c>
      <c r="B164" s="12" t="s">
        <v>182</v>
      </c>
      <c r="C164" s="12" t="s">
        <v>95</v>
      </c>
      <c r="D164" s="4">
        <v>0.93</v>
      </c>
      <c r="E164" s="5">
        <v>35</v>
      </c>
      <c r="F164" s="2">
        <f>IF(D164&lt;Notes!$B$6,Notes!$C$6,IF(D164&lt;Notes!$B$7,Notes!$C$7,IF(D164&lt;Notes!$B$8,Notes!$C$8,Notes!$C$9)))</f>
        <v>5</v>
      </c>
      <c r="G164" s="5">
        <v>0</v>
      </c>
      <c r="H164" s="6">
        <f>MIN(Notes!$B$3,MAX(1,F164+G164))</f>
        <v>5</v>
      </c>
      <c r="I164" s="2">
        <f t="shared" si="5"/>
        <v>30</v>
      </c>
      <c r="J164" s="2">
        <f>MIN(E164+H164,Notes!$B$2)</f>
        <v>40</v>
      </c>
      <c r="K164" s="7"/>
    </row>
    <row r="165" spans="1:11" x14ac:dyDescent="0.25">
      <c r="A165" s="2">
        <f t="shared" si="4"/>
        <v>192</v>
      </c>
      <c r="B165" s="12" t="s">
        <v>183</v>
      </c>
      <c r="C165" s="12" t="s">
        <v>95</v>
      </c>
      <c r="D165" s="4">
        <v>0.82</v>
      </c>
      <c r="E165" s="5">
        <v>28</v>
      </c>
      <c r="F165" s="2">
        <f>IF(D165&lt;Notes!$B$6,Notes!$C$6,IF(D165&lt;Notes!$B$7,Notes!$C$7,IF(D165&lt;Notes!$B$8,Notes!$C$8,Notes!$C$9)))</f>
        <v>5</v>
      </c>
      <c r="G165" s="5">
        <v>0</v>
      </c>
      <c r="H165" s="6">
        <f>MIN(Notes!$B$3,MAX(1,F165+G165))</f>
        <v>5</v>
      </c>
      <c r="I165" s="2">
        <f t="shared" si="5"/>
        <v>23</v>
      </c>
      <c r="J165" s="2">
        <f>MIN(E165+H165,Notes!$B$2)</f>
        <v>33</v>
      </c>
      <c r="K165" s="7"/>
    </row>
    <row r="166" spans="1:11" x14ac:dyDescent="0.25">
      <c r="A166" s="2">
        <f t="shared" si="4"/>
        <v>197</v>
      </c>
      <c r="B166" s="11" t="s">
        <v>184</v>
      </c>
      <c r="C166" s="11" t="s">
        <v>33</v>
      </c>
      <c r="D166" s="4">
        <v>0.11700000000000001</v>
      </c>
      <c r="E166" s="5">
        <v>25</v>
      </c>
      <c r="F166" s="2">
        <f>IF(D166&lt;Notes!$B$6,Notes!$C$6,IF(D166&lt;Notes!$B$7,Notes!$C$7,IF(D166&lt;Notes!$B$8,Notes!$C$8,Notes!$C$9)))</f>
        <v>5</v>
      </c>
      <c r="G166" s="5">
        <v>0</v>
      </c>
      <c r="H166" s="6">
        <f>MIN(Notes!$B$3,MAX(1,F166+G166))</f>
        <v>5</v>
      </c>
      <c r="I166" s="2">
        <f t="shared" si="5"/>
        <v>20</v>
      </c>
      <c r="J166" s="2">
        <f>MIN(E166+H166,Notes!$B$2)</f>
        <v>30</v>
      </c>
      <c r="K166" s="7"/>
    </row>
    <row r="167" spans="1:11" x14ac:dyDescent="0.25">
      <c r="A167" s="2">
        <f t="shared" si="4"/>
        <v>163</v>
      </c>
      <c r="B167" s="10" t="s">
        <v>185</v>
      </c>
      <c r="C167" s="10" t="s">
        <v>30</v>
      </c>
      <c r="D167" s="4">
        <v>17.600000000000001</v>
      </c>
      <c r="E167" s="5">
        <v>35</v>
      </c>
      <c r="F167" s="2">
        <f>IF(D167&lt;Notes!$B$6,Notes!$C$6,IF(D167&lt;Notes!$B$7,Notes!$C$7,IF(D167&lt;Notes!$B$8,Notes!$C$8,Notes!$C$9)))</f>
        <v>3</v>
      </c>
      <c r="G167" s="5">
        <v>0</v>
      </c>
      <c r="H167" s="6">
        <f>MIN(Notes!$B$3,MAX(1,F167+G167))</f>
        <v>3</v>
      </c>
      <c r="I167" s="2">
        <f t="shared" si="5"/>
        <v>32</v>
      </c>
      <c r="J167" s="2">
        <f>MIN(E167+H167,Notes!$B$2)</f>
        <v>38</v>
      </c>
      <c r="K167" s="7"/>
    </row>
    <row r="168" spans="1:11" x14ac:dyDescent="0.25">
      <c r="A168" s="2">
        <f t="shared" si="4"/>
        <v>185</v>
      </c>
      <c r="B168" s="10" t="s">
        <v>186</v>
      </c>
      <c r="C168" s="10" t="s">
        <v>30</v>
      </c>
      <c r="D168" s="4">
        <v>23.4</v>
      </c>
      <c r="E168" s="5">
        <v>30</v>
      </c>
      <c r="F168" s="2">
        <f>IF(D168&lt;Notes!$B$6,Notes!$C$6,IF(D168&lt;Notes!$B$7,Notes!$C$7,IF(D168&lt;Notes!$B$8,Notes!$C$8,Notes!$C$9)))</f>
        <v>3</v>
      </c>
      <c r="G168" s="5">
        <v>0</v>
      </c>
      <c r="H168" s="6">
        <f>MIN(Notes!$B$3,MAX(1,F168+G168))</f>
        <v>3</v>
      </c>
      <c r="I168" s="2">
        <f t="shared" si="5"/>
        <v>27</v>
      </c>
      <c r="J168" s="2">
        <f>MIN(E168+H168,Notes!$B$2)</f>
        <v>33</v>
      </c>
      <c r="K168" s="7"/>
    </row>
    <row r="169" spans="1:11" x14ac:dyDescent="0.25">
      <c r="A169" s="2">
        <f t="shared" si="4"/>
        <v>192</v>
      </c>
      <c r="B169" s="11" t="s">
        <v>187</v>
      </c>
      <c r="C169" s="11" t="s">
        <v>33</v>
      </c>
      <c r="D169" s="4">
        <v>9.4E-2</v>
      </c>
      <c r="E169" s="5">
        <v>28</v>
      </c>
      <c r="F169" s="2">
        <f>IF(D169&lt;Notes!$B$6,Notes!$C$6,IF(D169&lt;Notes!$B$7,Notes!$C$7,IF(D169&lt;Notes!$B$8,Notes!$C$8,Notes!$C$9)))</f>
        <v>5</v>
      </c>
      <c r="G169" s="5">
        <v>0</v>
      </c>
      <c r="H169" s="6">
        <f>MIN(Notes!$B$3,MAX(1,F169+G169))</f>
        <v>5</v>
      </c>
      <c r="I169" s="2">
        <f t="shared" si="5"/>
        <v>23</v>
      </c>
      <c r="J169" s="2">
        <f>MIN(E169+H169,Notes!$B$2)</f>
        <v>33</v>
      </c>
      <c r="K169" s="7"/>
    </row>
    <row r="170" spans="1:11" x14ac:dyDescent="0.25">
      <c r="A170" s="2">
        <f t="shared" si="4"/>
        <v>197</v>
      </c>
      <c r="B170" s="11" t="s">
        <v>188</v>
      </c>
      <c r="C170" s="11" t="s">
        <v>33</v>
      </c>
      <c r="D170" s="4">
        <v>0.1</v>
      </c>
      <c r="E170" s="5">
        <v>25</v>
      </c>
      <c r="F170" s="2">
        <f>IF(D170&lt;Notes!$B$6,Notes!$C$6,IF(D170&lt;Notes!$B$7,Notes!$C$7,IF(D170&lt;Notes!$B$8,Notes!$C$8,Notes!$C$9)))</f>
        <v>5</v>
      </c>
      <c r="G170" s="5">
        <v>0</v>
      </c>
      <c r="H170" s="6">
        <f>MIN(Notes!$B$3,MAX(1,F170+G170))</f>
        <v>5</v>
      </c>
      <c r="I170" s="2">
        <f t="shared" si="5"/>
        <v>20</v>
      </c>
      <c r="J170" s="2">
        <f>MIN(E170+H170,Notes!$B$2)</f>
        <v>30</v>
      </c>
      <c r="K170" s="7"/>
    </row>
    <row r="171" spans="1:11" x14ac:dyDescent="0.25">
      <c r="A171" s="2">
        <f t="shared" si="4"/>
        <v>176</v>
      </c>
      <c r="B171" s="3" t="s">
        <v>189</v>
      </c>
      <c r="C171" s="3" t="s">
        <v>12</v>
      </c>
      <c r="D171" s="4">
        <v>8.3000000000000004E-2</v>
      </c>
      <c r="E171" s="5">
        <v>32</v>
      </c>
      <c r="F171" s="2">
        <f>IF(D171&lt;Notes!$B$6,Notes!$C$6,IF(D171&lt;Notes!$B$7,Notes!$C$7,IF(D171&lt;Notes!$B$8,Notes!$C$8,Notes!$C$9)))</f>
        <v>5</v>
      </c>
      <c r="G171" s="5">
        <v>0</v>
      </c>
      <c r="H171" s="6">
        <f>MIN(Notes!$B$3,MAX(1,F171+G171))</f>
        <v>5</v>
      </c>
      <c r="I171" s="2">
        <f t="shared" si="5"/>
        <v>27</v>
      </c>
      <c r="J171" s="2">
        <f>MIN(E171+H171,Notes!$B$2)</f>
        <v>37</v>
      </c>
      <c r="K171" s="7"/>
    </row>
    <row r="172" spans="1:11" x14ac:dyDescent="0.25">
      <c r="A172" s="2">
        <f t="shared" si="4"/>
        <v>148</v>
      </c>
      <c r="B172" s="10" t="s">
        <v>190</v>
      </c>
      <c r="C172" s="10" t="s">
        <v>30</v>
      </c>
      <c r="D172" s="4">
        <v>174</v>
      </c>
      <c r="E172" s="5">
        <v>40</v>
      </c>
      <c r="F172" s="2">
        <f>IF(D172&lt;Notes!$B$6,Notes!$C$6,IF(D172&lt;Notes!$B$7,Notes!$C$7,IF(D172&lt;Notes!$B$8,Notes!$C$8,Notes!$C$9)))</f>
        <v>2</v>
      </c>
      <c r="G172" s="5">
        <v>0</v>
      </c>
      <c r="H172" s="6">
        <f>MIN(Notes!$B$3,MAX(1,F172+G172))</f>
        <v>2</v>
      </c>
      <c r="I172" s="2">
        <f t="shared" si="5"/>
        <v>38</v>
      </c>
      <c r="J172" s="2">
        <f>MIN(E172+H172,Notes!$B$2)</f>
        <v>42</v>
      </c>
      <c r="K172" s="7"/>
    </row>
    <row r="173" spans="1:11" x14ac:dyDescent="0.25">
      <c r="A173" s="2">
        <f t="shared" si="4"/>
        <v>185</v>
      </c>
      <c r="B173" s="10" t="s">
        <v>191</v>
      </c>
      <c r="C173" s="10" t="s">
        <v>30</v>
      </c>
      <c r="D173" s="4">
        <v>0.53</v>
      </c>
      <c r="E173" s="5">
        <v>30</v>
      </c>
      <c r="F173" s="2">
        <f>IF(D173&lt;Notes!$B$6,Notes!$C$6,IF(D173&lt;Notes!$B$7,Notes!$C$7,IF(D173&lt;Notes!$B$8,Notes!$C$8,Notes!$C$9)))</f>
        <v>5</v>
      </c>
      <c r="G173" s="5">
        <v>0</v>
      </c>
      <c r="H173" s="6">
        <f>MIN(Notes!$B$3,MAX(1,F173+G173))</f>
        <v>5</v>
      </c>
      <c r="I173" s="2">
        <f t="shared" si="5"/>
        <v>25</v>
      </c>
      <c r="J173" s="2">
        <f>MIN(E173+H173,Notes!$B$2)</f>
        <v>35</v>
      </c>
      <c r="K173" s="7"/>
    </row>
    <row r="174" spans="1:11" x14ac:dyDescent="0.25">
      <c r="A174" s="2">
        <f t="shared" si="4"/>
        <v>163</v>
      </c>
      <c r="B174" s="9" t="s">
        <v>192</v>
      </c>
      <c r="C174" s="9" t="s">
        <v>22</v>
      </c>
      <c r="D174" s="4">
        <v>20</v>
      </c>
      <c r="E174" s="5">
        <v>35</v>
      </c>
      <c r="F174" s="2">
        <f>IF(D174&lt;Notes!$B$6,Notes!$C$6,IF(D174&lt;Notes!$B$7,Notes!$C$7,IF(D174&lt;Notes!$B$8,Notes!$C$8,Notes!$C$9)))</f>
        <v>3</v>
      </c>
      <c r="G174" s="5">
        <v>0</v>
      </c>
      <c r="H174" s="6">
        <f>MIN(Notes!$B$3,MAX(1,F174+G174))</f>
        <v>3</v>
      </c>
      <c r="I174" s="2">
        <f t="shared" si="5"/>
        <v>32</v>
      </c>
      <c r="J174" s="2">
        <f>MIN(E174+H174,Notes!$B$2)</f>
        <v>38</v>
      </c>
      <c r="K174" s="7"/>
    </row>
    <row r="175" spans="1:11" x14ac:dyDescent="0.25">
      <c r="A175" s="2">
        <f t="shared" si="4"/>
        <v>174</v>
      </c>
      <c r="B175" s="9" t="s">
        <v>193</v>
      </c>
      <c r="C175" s="9" t="s">
        <v>22</v>
      </c>
      <c r="D175" s="4">
        <v>1.26</v>
      </c>
      <c r="E175" s="5">
        <v>33</v>
      </c>
      <c r="F175" s="2">
        <f>IF(D175&lt;Notes!$B$6,Notes!$C$6,IF(D175&lt;Notes!$B$7,Notes!$C$7,IF(D175&lt;Notes!$B$8,Notes!$C$8,Notes!$C$9)))</f>
        <v>5</v>
      </c>
      <c r="G175" s="5">
        <v>0</v>
      </c>
      <c r="H175" s="6">
        <f>MIN(Notes!$B$3,MAX(1,F175+G175))</f>
        <v>5</v>
      </c>
      <c r="I175" s="2">
        <f t="shared" si="5"/>
        <v>28</v>
      </c>
      <c r="J175" s="2">
        <f>MIN(E175+H175,Notes!$B$2)</f>
        <v>38</v>
      </c>
      <c r="K175" s="7"/>
    </row>
    <row r="176" spans="1:11" x14ac:dyDescent="0.25">
      <c r="A176" s="2">
        <f t="shared" si="4"/>
        <v>163</v>
      </c>
      <c r="B176" s="11" t="s">
        <v>194</v>
      </c>
      <c r="C176" s="11" t="s">
        <v>33</v>
      </c>
      <c r="D176" s="4">
        <v>0.42</v>
      </c>
      <c r="E176" s="5">
        <v>35</v>
      </c>
      <c r="F176" s="2">
        <f>IF(D176&lt;Notes!$B$6,Notes!$C$6,IF(D176&lt;Notes!$B$7,Notes!$C$7,IF(D176&lt;Notes!$B$8,Notes!$C$8,Notes!$C$9)))</f>
        <v>5</v>
      </c>
      <c r="G176" s="5">
        <v>0</v>
      </c>
      <c r="H176" s="6">
        <f>MIN(Notes!$B$3,MAX(1,F176+G176))</f>
        <v>5</v>
      </c>
      <c r="I176" s="2">
        <f t="shared" si="5"/>
        <v>30</v>
      </c>
      <c r="J176" s="2">
        <f>MIN(E176+H176,Notes!$B$2)</f>
        <v>40</v>
      </c>
      <c r="K176" s="7"/>
    </row>
    <row r="177" spans="1:11" x14ac:dyDescent="0.25">
      <c r="A177" s="2">
        <f t="shared" si="4"/>
        <v>197</v>
      </c>
      <c r="B177" s="11" t="s">
        <v>195</v>
      </c>
      <c r="C177" s="11" t="s">
        <v>33</v>
      </c>
      <c r="D177" s="4">
        <v>0.18</v>
      </c>
      <c r="E177" s="5">
        <v>25</v>
      </c>
      <c r="F177" s="2">
        <f>IF(D177&lt;Notes!$B$6,Notes!$C$6,IF(D177&lt;Notes!$B$7,Notes!$C$7,IF(D177&lt;Notes!$B$8,Notes!$C$8,Notes!$C$9)))</f>
        <v>5</v>
      </c>
      <c r="G177" s="5">
        <v>0</v>
      </c>
      <c r="H177" s="6">
        <f>MIN(Notes!$B$3,MAX(1,F177+G177))</f>
        <v>5</v>
      </c>
      <c r="I177" s="2">
        <f t="shared" si="5"/>
        <v>20</v>
      </c>
      <c r="J177" s="2">
        <f>MIN(E177+H177,Notes!$B$2)</f>
        <v>30</v>
      </c>
      <c r="K177" s="7"/>
    </row>
    <row r="178" spans="1:11" x14ac:dyDescent="0.25">
      <c r="A178" s="2">
        <f t="shared" si="4"/>
        <v>197</v>
      </c>
      <c r="B178" s="12" t="s">
        <v>196</v>
      </c>
      <c r="C178" s="12" t="s">
        <v>95</v>
      </c>
      <c r="D178" s="4">
        <v>0.28000000000000003</v>
      </c>
      <c r="E178" s="5">
        <v>25</v>
      </c>
      <c r="F178" s="2">
        <f>IF(D178&lt;Notes!$B$6,Notes!$C$6,IF(D178&lt;Notes!$B$7,Notes!$C$7,IF(D178&lt;Notes!$B$8,Notes!$C$8,Notes!$C$9)))</f>
        <v>5</v>
      </c>
      <c r="G178" s="5">
        <v>0</v>
      </c>
      <c r="H178" s="6">
        <f>MIN(Notes!$B$3,MAX(1,F178+G178))</f>
        <v>5</v>
      </c>
      <c r="I178" s="2">
        <f t="shared" si="5"/>
        <v>20</v>
      </c>
      <c r="J178" s="2">
        <f>MIN(E178+H178,Notes!$B$2)</f>
        <v>30</v>
      </c>
      <c r="K178" s="7"/>
    </row>
    <row r="179" spans="1:11" x14ac:dyDescent="0.25">
      <c r="A179" s="2">
        <f t="shared" si="4"/>
        <v>197</v>
      </c>
      <c r="B179" s="12" t="s">
        <v>197</v>
      </c>
      <c r="C179" s="12" t="s">
        <v>95</v>
      </c>
      <c r="D179" s="4">
        <v>0.33</v>
      </c>
      <c r="E179" s="5">
        <v>25</v>
      </c>
      <c r="F179" s="2">
        <f>IF(D179&lt;Notes!$B$6,Notes!$C$6,IF(D179&lt;Notes!$B$7,Notes!$C$7,IF(D179&lt;Notes!$B$8,Notes!$C$8,Notes!$C$9)))</f>
        <v>5</v>
      </c>
      <c r="G179" s="5">
        <v>0</v>
      </c>
      <c r="H179" s="6">
        <f>MIN(Notes!$B$3,MAX(1,F179+G179))</f>
        <v>5</v>
      </c>
      <c r="I179" s="2">
        <f t="shared" si="5"/>
        <v>20</v>
      </c>
      <c r="J179" s="2">
        <f>MIN(E179+H179,Notes!$B$2)</f>
        <v>30</v>
      </c>
      <c r="K179" s="7"/>
    </row>
    <row r="180" spans="1:11" x14ac:dyDescent="0.25">
      <c r="A180" s="2">
        <f t="shared" si="4"/>
        <v>181</v>
      </c>
      <c r="B180" s="10" t="s">
        <v>198</v>
      </c>
      <c r="C180" s="10" t="s">
        <v>30</v>
      </c>
      <c r="D180" s="4">
        <v>3.5</v>
      </c>
      <c r="E180" s="5">
        <v>31</v>
      </c>
      <c r="F180" s="2">
        <f>IF(D180&lt;Notes!$B$6,Notes!$C$6,IF(D180&lt;Notes!$B$7,Notes!$C$7,IF(D180&lt;Notes!$B$8,Notes!$C$8,Notes!$C$9)))</f>
        <v>5</v>
      </c>
      <c r="G180" s="5">
        <v>0</v>
      </c>
      <c r="H180" s="6">
        <f>MIN(Notes!$B$3,MAX(1,F180+G180))</f>
        <v>5</v>
      </c>
      <c r="I180" s="2">
        <f t="shared" si="5"/>
        <v>26</v>
      </c>
      <c r="J180" s="2">
        <f>MIN(E180+H180,Notes!$B$2)</f>
        <v>36</v>
      </c>
      <c r="K180" s="7"/>
    </row>
    <row r="181" spans="1:11" x14ac:dyDescent="0.25">
      <c r="A181" s="2">
        <f t="shared" si="4"/>
        <v>176</v>
      </c>
      <c r="B181" s="10" t="s">
        <v>199</v>
      </c>
      <c r="C181" s="10" t="s">
        <v>30</v>
      </c>
      <c r="D181" s="4">
        <v>29.7</v>
      </c>
      <c r="E181" s="5">
        <v>32</v>
      </c>
      <c r="F181" s="2">
        <f>IF(D181&lt;Notes!$B$6,Notes!$C$6,IF(D181&lt;Notes!$B$7,Notes!$C$7,IF(D181&lt;Notes!$B$8,Notes!$C$8,Notes!$C$9)))</f>
        <v>3</v>
      </c>
      <c r="G181" s="5">
        <v>0</v>
      </c>
      <c r="H181" s="6">
        <f>MIN(Notes!$B$3,MAX(1,F181+G181))</f>
        <v>3</v>
      </c>
      <c r="I181" s="2">
        <f t="shared" si="5"/>
        <v>29</v>
      </c>
      <c r="J181" s="2">
        <f>MIN(E181+H181,Notes!$B$2)</f>
        <v>35</v>
      </c>
      <c r="K181" s="7"/>
    </row>
    <row r="182" spans="1:11" x14ac:dyDescent="0.25">
      <c r="A182" s="2">
        <f t="shared" si="4"/>
        <v>192</v>
      </c>
      <c r="B182" s="12" t="s">
        <v>200</v>
      </c>
      <c r="C182" s="12" t="s">
        <v>95</v>
      </c>
      <c r="D182" s="4">
        <v>10.3</v>
      </c>
      <c r="E182" s="5">
        <v>28</v>
      </c>
      <c r="F182" s="2">
        <f>IF(D182&lt;Notes!$B$6,Notes!$C$6,IF(D182&lt;Notes!$B$7,Notes!$C$7,IF(D182&lt;Notes!$B$8,Notes!$C$8,Notes!$C$9)))</f>
        <v>4</v>
      </c>
      <c r="G182" s="5">
        <v>0</v>
      </c>
      <c r="H182" s="6">
        <f>MIN(Notes!$B$3,MAX(1,F182+G182))</f>
        <v>4</v>
      </c>
      <c r="I182" s="2">
        <f t="shared" si="5"/>
        <v>24</v>
      </c>
      <c r="J182" s="2">
        <f>MIN(E182+H182,Notes!$B$2)</f>
        <v>32</v>
      </c>
      <c r="K182" s="7"/>
    </row>
    <row r="183" spans="1:11" x14ac:dyDescent="0.25">
      <c r="A183" s="2">
        <f t="shared" si="4"/>
        <v>176</v>
      </c>
      <c r="B183" s="9" t="s">
        <v>201</v>
      </c>
      <c r="C183" s="9" t="s">
        <v>22</v>
      </c>
      <c r="D183" s="4">
        <v>0.23</v>
      </c>
      <c r="E183" s="5">
        <v>32</v>
      </c>
      <c r="F183" s="2">
        <f>IF(D183&lt;Notes!$B$6,Notes!$C$6,IF(D183&lt;Notes!$B$7,Notes!$C$7,IF(D183&lt;Notes!$B$8,Notes!$C$8,Notes!$C$9)))</f>
        <v>5</v>
      </c>
      <c r="G183" s="5">
        <v>0</v>
      </c>
      <c r="H183" s="6">
        <f>MIN(Notes!$B$3,MAX(1,F183+G183))</f>
        <v>5</v>
      </c>
      <c r="I183" s="2">
        <f t="shared" si="5"/>
        <v>27</v>
      </c>
      <c r="J183" s="2">
        <f>MIN(E183+H183,Notes!$B$2)</f>
        <v>37</v>
      </c>
      <c r="K183" s="7"/>
    </row>
    <row r="184" spans="1:11" x14ac:dyDescent="0.25">
      <c r="A184" s="2">
        <f t="shared" si="4"/>
        <v>176</v>
      </c>
      <c r="B184" s="11" t="s">
        <v>202</v>
      </c>
      <c r="C184" s="11" t="s">
        <v>33</v>
      </c>
      <c r="D184" s="4">
        <v>0.28000000000000003</v>
      </c>
      <c r="E184" s="5">
        <v>32</v>
      </c>
      <c r="F184" s="2">
        <f>IF(D184&lt;Notes!$B$6,Notes!$C$6,IF(D184&lt;Notes!$B$7,Notes!$C$7,IF(D184&lt;Notes!$B$8,Notes!$C$8,Notes!$C$9)))</f>
        <v>5</v>
      </c>
      <c r="G184" s="5">
        <v>0</v>
      </c>
      <c r="H184" s="6">
        <f>MIN(Notes!$B$3,MAX(1,F184+G184))</f>
        <v>5</v>
      </c>
      <c r="I184" s="2">
        <f t="shared" si="5"/>
        <v>27</v>
      </c>
      <c r="J184" s="2">
        <f>MIN(E184+H184,Notes!$B$2)</f>
        <v>37</v>
      </c>
      <c r="K184" s="7"/>
    </row>
    <row r="185" spans="1:11" x14ac:dyDescent="0.25">
      <c r="A185" s="2">
        <f t="shared" si="4"/>
        <v>174</v>
      </c>
      <c r="B185" s="3" t="s">
        <v>203</v>
      </c>
      <c r="C185" s="3" t="s">
        <v>12</v>
      </c>
      <c r="D185" s="4">
        <v>3.3000000000000002E-2</v>
      </c>
      <c r="E185" s="5">
        <v>33</v>
      </c>
      <c r="F185" s="2">
        <f>IF(D185&lt;Notes!$B$6,Notes!$C$6,IF(D185&lt;Notes!$B$7,Notes!$C$7,IF(D185&lt;Notes!$B$8,Notes!$C$8,Notes!$C$9)))</f>
        <v>5</v>
      </c>
      <c r="G185" s="5">
        <v>0</v>
      </c>
      <c r="H185" s="6">
        <f>MIN(Notes!$B$3,MAX(1,F185+G185))</f>
        <v>5</v>
      </c>
      <c r="I185" s="2">
        <f t="shared" si="5"/>
        <v>28</v>
      </c>
      <c r="J185" s="2">
        <f>MIN(E185+H185,Notes!$B$2)</f>
        <v>38</v>
      </c>
      <c r="K185" s="7"/>
    </row>
    <row r="186" spans="1:11" x14ac:dyDescent="0.25">
      <c r="A186" s="2">
        <f t="shared" si="4"/>
        <v>159</v>
      </c>
      <c r="B186" s="11" t="s">
        <v>204</v>
      </c>
      <c r="C186" s="11" t="s">
        <v>33</v>
      </c>
      <c r="D186" s="4">
        <v>6.7000000000000004E-2</v>
      </c>
      <c r="E186" s="5">
        <v>38</v>
      </c>
      <c r="F186" s="2">
        <f>IF(D186&lt;Notes!$B$6,Notes!$C$6,IF(D186&lt;Notes!$B$7,Notes!$C$7,IF(D186&lt;Notes!$B$8,Notes!$C$8,Notes!$C$9)))</f>
        <v>5</v>
      </c>
      <c r="G186" s="5">
        <v>0</v>
      </c>
      <c r="H186" s="6">
        <f>MIN(Notes!$B$3,MAX(1,F186+G186))</f>
        <v>5</v>
      </c>
      <c r="I186" s="2">
        <f t="shared" si="5"/>
        <v>33</v>
      </c>
      <c r="J186" s="2">
        <f>MIN(E186+H186,Notes!$B$2)</f>
        <v>43</v>
      </c>
      <c r="K186" s="7"/>
    </row>
    <row r="187" spans="1:11" x14ac:dyDescent="0.25">
      <c r="A187" s="2">
        <f t="shared" si="4"/>
        <v>161</v>
      </c>
      <c r="B187" s="3" t="s">
        <v>205</v>
      </c>
      <c r="C187" s="3" t="s">
        <v>12</v>
      </c>
      <c r="D187" s="4">
        <v>0.04</v>
      </c>
      <c r="E187" s="5">
        <v>37</v>
      </c>
      <c r="F187" s="2">
        <f>IF(D187&lt;Notes!$B$6,Notes!$C$6,IF(D187&lt;Notes!$B$7,Notes!$C$7,IF(D187&lt;Notes!$B$8,Notes!$C$8,Notes!$C$9)))</f>
        <v>5</v>
      </c>
      <c r="G187" s="5">
        <v>0</v>
      </c>
      <c r="H187" s="6">
        <f>MIN(Notes!$B$3,MAX(1,F187+G187))</f>
        <v>5</v>
      </c>
      <c r="I187" s="2">
        <f t="shared" si="5"/>
        <v>32</v>
      </c>
      <c r="J187" s="2">
        <f>MIN(E187+H187,Notes!$B$2)</f>
        <v>42</v>
      </c>
      <c r="K187" s="7"/>
    </row>
    <row r="188" spans="1:11" x14ac:dyDescent="0.25">
      <c r="A188" s="2">
        <f t="shared" si="4"/>
        <v>162</v>
      </c>
      <c r="B188" s="10" t="s">
        <v>206</v>
      </c>
      <c r="C188" s="10" t="s">
        <v>30</v>
      </c>
      <c r="D188" s="4">
        <v>7.7</v>
      </c>
      <c r="E188" s="5">
        <v>36</v>
      </c>
      <c r="F188" s="2">
        <f>IF(D188&lt;Notes!$B$6,Notes!$C$6,IF(D188&lt;Notes!$B$7,Notes!$C$7,IF(D188&lt;Notes!$B$8,Notes!$C$8,Notes!$C$9)))</f>
        <v>4</v>
      </c>
      <c r="G188" s="5">
        <v>0</v>
      </c>
      <c r="H188" s="6">
        <f>MIN(Notes!$B$3,MAX(1,F188+G188))</f>
        <v>4</v>
      </c>
      <c r="I188" s="2">
        <f t="shared" si="5"/>
        <v>32</v>
      </c>
      <c r="J188" s="2">
        <f>MIN(E188+H188,Notes!$B$2)</f>
        <v>40</v>
      </c>
      <c r="K188" s="7"/>
    </row>
    <row r="189" spans="1:11" x14ac:dyDescent="0.25">
      <c r="A189" s="2">
        <f t="shared" si="4"/>
        <v>148</v>
      </c>
      <c r="B189" s="11" t="s">
        <v>207</v>
      </c>
      <c r="C189" s="11" t="s">
        <v>33</v>
      </c>
      <c r="D189" s="4">
        <v>0.108</v>
      </c>
      <c r="E189" s="5">
        <v>40</v>
      </c>
      <c r="F189" s="2">
        <f>IF(D189&lt;Notes!$B$6,Notes!$C$6,IF(D189&lt;Notes!$B$7,Notes!$C$7,IF(D189&lt;Notes!$B$8,Notes!$C$8,Notes!$C$9)))</f>
        <v>5</v>
      </c>
      <c r="G189" s="5">
        <v>0</v>
      </c>
      <c r="H189" s="6">
        <f>MIN(Notes!$B$3,MAX(1,F189+G189))</f>
        <v>5</v>
      </c>
      <c r="I189" s="2">
        <f t="shared" si="5"/>
        <v>35</v>
      </c>
      <c r="J189" s="2">
        <f>MIN(E189+H189,Notes!$B$2)</f>
        <v>45</v>
      </c>
      <c r="K189" s="7"/>
    </row>
    <row r="190" spans="1:11" x14ac:dyDescent="0.25">
      <c r="A190" s="2">
        <f t="shared" si="4"/>
        <v>163</v>
      </c>
      <c r="B190" s="11" t="s">
        <v>208</v>
      </c>
      <c r="C190" s="11" t="s">
        <v>33</v>
      </c>
      <c r="D190" s="4">
        <v>4.4999999999999997E-3</v>
      </c>
      <c r="E190" s="5">
        <v>35</v>
      </c>
      <c r="F190" s="2">
        <f>IF(D190&lt;Notes!$B$6,Notes!$C$6,IF(D190&lt;Notes!$B$7,Notes!$C$7,IF(D190&lt;Notes!$B$8,Notes!$C$8,Notes!$C$9)))</f>
        <v>5</v>
      </c>
      <c r="G190" s="5">
        <v>0</v>
      </c>
      <c r="H190" s="6">
        <f>MIN(Notes!$B$3,MAX(1,F190+G190))</f>
        <v>5</v>
      </c>
      <c r="I190" s="2">
        <f t="shared" si="5"/>
        <v>30</v>
      </c>
      <c r="J190" s="2">
        <f>MIN(E190+H190,Notes!$B$2)</f>
        <v>40</v>
      </c>
      <c r="K190" s="7"/>
    </row>
    <row r="191" spans="1:11" x14ac:dyDescent="0.25">
      <c r="A191" s="2">
        <f t="shared" si="4"/>
        <v>163</v>
      </c>
      <c r="B191" s="10" t="s">
        <v>209</v>
      </c>
      <c r="C191" s="10" t="s">
        <v>30</v>
      </c>
      <c r="D191" s="4">
        <v>0.79</v>
      </c>
      <c r="E191" s="5">
        <v>35</v>
      </c>
      <c r="F191" s="2">
        <f>IF(D191&lt;Notes!$B$6,Notes!$C$6,IF(D191&lt;Notes!$B$7,Notes!$C$7,IF(D191&lt;Notes!$B$8,Notes!$C$8,Notes!$C$9)))</f>
        <v>5</v>
      </c>
      <c r="G191" s="5">
        <v>0</v>
      </c>
      <c r="H191" s="6">
        <f>MIN(Notes!$B$3,MAX(1,F191+G191))</f>
        <v>5</v>
      </c>
      <c r="I191" s="2">
        <f t="shared" si="5"/>
        <v>30</v>
      </c>
      <c r="J191" s="2">
        <f>MIN(E191+H191,Notes!$B$2)</f>
        <v>40</v>
      </c>
      <c r="K191" s="7"/>
    </row>
    <row r="192" spans="1:11" x14ac:dyDescent="0.25">
      <c r="A192" s="2">
        <f t="shared" si="4"/>
        <v>148</v>
      </c>
      <c r="B192" s="10" t="s">
        <v>210</v>
      </c>
      <c r="C192" s="10" t="s">
        <v>30</v>
      </c>
      <c r="D192" s="4">
        <v>251</v>
      </c>
      <c r="E192" s="5">
        <v>40</v>
      </c>
      <c r="F192" s="2">
        <f>IF(D192&lt;Notes!$B$6,Notes!$C$6,IF(D192&lt;Notes!$B$7,Notes!$C$7,IF(D192&lt;Notes!$B$8,Notes!$C$8,Notes!$C$9)))</f>
        <v>2</v>
      </c>
      <c r="G192" s="5">
        <v>0</v>
      </c>
      <c r="H192" s="6">
        <f>MIN(Notes!$B$3,MAX(1,F192+G192))</f>
        <v>2</v>
      </c>
      <c r="I192" s="2">
        <f t="shared" si="5"/>
        <v>38</v>
      </c>
      <c r="J192" s="2">
        <f>MIN(E192+H192,Notes!$B$2)</f>
        <v>42</v>
      </c>
      <c r="K192" s="7"/>
    </row>
    <row r="193" spans="1:11" x14ac:dyDescent="0.25">
      <c r="A193" s="2">
        <f t="shared" si="4"/>
        <v>163</v>
      </c>
      <c r="B193" s="10" t="s">
        <v>211</v>
      </c>
      <c r="C193" s="10" t="s">
        <v>30</v>
      </c>
      <c r="D193" s="4">
        <v>21.9</v>
      </c>
      <c r="E193" s="5">
        <v>35</v>
      </c>
      <c r="F193" s="2">
        <f>IF(D193&lt;Notes!$B$6,Notes!$C$6,IF(D193&lt;Notes!$B$7,Notes!$C$7,IF(D193&lt;Notes!$B$8,Notes!$C$8,Notes!$C$9)))</f>
        <v>3</v>
      </c>
      <c r="G193" s="5">
        <v>0</v>
      </c>
      <c r="H193" s="6">
        <f>MIN(Notes!$B$3,MAX(1,F193+G193))</f>
        <v>3</v>
      </c>
      <c r="I193" s="2">
        <f t="shared" si="5"/>
        <v>32</v>
      </c>
      <c r="J193" s="2">
        <f>MIN(E193+H193,Notes!$B$2)</f>
        <v>38</v>
      </c>
      <c r="K193" s="7"/>
    </row>
    <row r="194" spans="1:11" x14ac:dyDescent="0.25">
      <c r="A194" s="2">
        <f t="shared" ref="A194:A212" si="6">RANK(E194,$E$2:$E$212,0)</f>
        <v>181</v>
      </c>
      <c r="B194" s="10" t="s">
        <v>212</v>
      </c>
      <c r="C194" s="10" t="s">
        <v>30</v>
      </c>
      <c r="D194" s="4">
        <v>0.46</v>
      </c>
      <c r="E194" s="5">
        <v>31</v>
      </c>
      <c r="F194" s="2">
        <f>IF(D194&lt;Notes!$B$6,Notes!$C$6,IF(D194&lt;Notes!$B$7,Notes!$C$7,IF(D194&lt;Notes!$B$8,Notes!$C$8,Notes!$C$9)))</f>
        <v>5</v>
      </c>
      <c r="G194" s="5">
        <v>0</v>
      </c>
      <c r="H194" s="6">
        <f>MIN(Notes!$B$3,MAX(1,F194+G194))</f>
        <v>5</v>
      </c>
      <c r="I194" s="2">
        <f t="shared" ref="I194:I212" si="7">E194-H194</f>
        <v>26</v>
      </c>
      <c r="J194" s="2">
        <f>MIN(E194+H194,Notes!$B$2)</f>
        <v>36</v>
      </c>
      <c r="K194" s="7"/>
    </row>
    <row r="195" spans="1:11" x14ac:dyDescent="0.25">
      <c r="A195" s="2">
        <f t="shared" si="6"/>
        <v>163</v>
      </c>
      <c r="B195" s="9" t="s">
        <v>213</v>
      </c>
      <c r="C195" s="9" t="s">
        <v>22</v>
      </c>
      <c r="D195" s="4">
        <v>1.17</v>
      </c>
      <c r="E195" s="5">
        <v>35</v>
      </c>
      <c r="F195" s="2">
        <f>IF(D195&lt;Notes!$B$6,Notes!$C$6,IF(D195&lt;Notes!$B$7,Notes!$C$7,IF(D195&lt;Notes!$B$8,Notes!$C$8,Notes!$C$9)))</f>
        <v>5</v>
      </c>
      <c r="G195" s="5">
        <v>0</v>
      </c>
      <c r="H195" s="6">
        <f>MIN(Notes!$B$3,MAX(1,F195+G195))</f>
        <v>5</v>
      </c>
      <c r="I195" s="2">
        <f t="shared" si="7"/>
        <v>30</v>
      </c>
      <c r="J195" s="2">
        <f>MIN(E195+H195,Notes!$B$2)</f>
        <v>40</v>
      </c>
      <c r="K195" s="7"/>
    </row>
    <row r="196" spans="1:11" x14ac:dyDescent="0.25">
      <c r="A196" s="2">
        <f t="shared" si="6"/>
        <v>185</v>
      </c>
      <c r="B196" s="9" t="s">
        <v>214</v>
      </c>
      <c r="C196" s="9" t="s">
        <v>22</v>
      </c>
      <c r="D196" s="4">
        <v>0.12</v>
      </c>
      <c r="E196" s="5">
        <v>30</v>
      </c>
      <c r="F196" s="2">
        <f>IF(D196&lt;Notes!$B$6,Notes!$C$6,IF(D196&lt;Notes!$B$7,Notes!$C$7,IF(D196&lt;Notes!$B$8,Notes!$C$8,Notes!$C$9)))</f>
        <v>5</v>
      </c>
      <c r="G196" s="5">
        <v>0</v>
      </c>
      <c r="H196" s="6">
        <f>MIN(Notes!$B$3,MAX(1,F196+G196))</f>
        <v>5</v>
      </c>
      <c r="I196" s="2">
        <f t="shared" si="7"/>
        <v>25</v>
      </c>
      <c r="J196" s="2">
        <f>MIN(E196+H196,Notes!$B$2)</f>
        <v>35</v>
      </c>
      <c r="K196" s="7"/>
    </row>
    <row r="197" spans="1:11" x14ac:dyDescent="0.25">
      <c r="A197" s="2">
        <f t="shared" si="6"/>
        <v>196</v>
      </c>
      <c r="B197" s="11" t="s">
        <v>215</v>
      </c>
      <c r="C197" s="11" t="s">
        <v>33</v>
      </c>
      <c r="D197" s="4">
        <v>7.0000000000000007E-2</v>
      </c>
      <c r="E197" s="5">
        <v>27</v>
      </c>
      <c r="F197" s="2">
        <f>IF(D197&lt;Notes!$B$6,Notes!$C$6,IF(D197&lt;Notes!$B$7,Notes!$C$7,IF(D197&lt;Notes!$B$8,Notes!$C$8,Notes!$C$9)))</f>
        <v>5</v>
      </c>
      <c r="G197" s="5">
        <v>0</v>
      </c>
      <c r="H197" s="6">
        <f>MIN(Notes!$B$3,MAX(1,F197+G197))</f>
        <v>5</v>
      </c>
      <c r="I197" s="2">
        <f t="shared" si="7"/>
        <v>22</v>
      </c>
      <c r="J197" s="2">
        <f>MIN(E197+H197,Notes!$B$2)</f>
        <v>32</v>
      </c>
      <c r="K197" s="7"/>
    </row>
    <row r="198" spans="1:11" x14ac:dyDescent="0.25">
      <c r="A198" s="2">
        <f t="shared" si="6"/>
        <v>181</v>
      </c>
      <c r="B198" s="3" t="s">
        <v>216</v>
      </c>
      <c r="C198" s="3" t="s">
        <v>12</v>
      </c>
      <c r="D198" s="4">
        <v>3.4000000000000002E-2</v>
      </c>
      <c r="E198" s="5">
        <v>31</v>
      </c>
      <c r="F198" s="2">
        <f>IF(D198&lt;Notes!$B$6,Notes!$C$6,IF(D198&lt;Notes!$B$7,Notes!$C$7,IF(D198&lt;Notes!$B$8,Notes!$C$8,Notes!$C$9)))</f>
        <v>5</v>
      </c>
      <c r="G198" s="5">
        <v>0</v>
      </c>
      <c r="H198" s="6">
        <f>MIN(Notes!$B$3,MAX(1,F198+G198))</f>
        <v>5</v>
      </c>
      <c r="I198" s="2">
        <f t="shared" si="7"/>
        <v>26</v>
      </c>
      <c r="J198" s="2">
        <f>MIN(E198+H198,Notes!$B$2)</f>
        <v>36</v>
      </c>
      <c r="K198" s="7"/>
    </row>
    <row r="199" spans="1:11" x14ac:dyDescent="0.25">
      <c r="A199" s="2">
        <f t="shared" si="6"/>
        <v>197</v>
      </c>
      <c r="B199" s="10" t="s">
        <v>217</v>
      </c>
      <c r="C199" s="10" t="s">
        <v>30</v>
      </c>
      <c r="D199" s="4">
        <v>0.17</v>
      </c>
      <c r="E199" s="5">
        <v>25</v>
      </c>
      <c r="F199" s="2">
        <f>IF(D199&lt;Notes!$B$6,Notes!$C$6,IF(D199&lt;Notes!$B$7,Notes!$C$7,IF(D199&lt;Notes!$B$8,Notes!$C$8,Notes!$C$9)))</f>
        <v>5</v>
      </c>
      <c r="G199" s="5">
        <v>0</v>
      </c>
      <c r="H199" s="6">
        <f>MIN(Notes!$B$3,MAX(1,F199+G199))</f>
        <v>5</v>
      </c>
      <c r="I199" s="2">
        <f t="shared" si="7"/>
        <v>20</v>
      </c>
      <c r="J199" s="2">
        <f>MIN(E199+H199,Notes!$B$2)</f>
        <v>30</v>
      </c>
      <c r="K199" s="7"/>
    </row>
    <row r="200" spans="1:11" x14ac:dyDescent="0.25">
      <c r="A200" s="2">
        <f t="shared" si="6"/>
        <v>197</v>
      </c>
      <c r="B200" s="10" t="s">
        <v>218</v>
      </c>
      <c r="C200" s="10" t="s">
        <v>30</v>
      </c>
      <c r="D200" s="4">
        <v>1.4</v>
      </c>
      <c r="E200" s="5">
        <v>25</v>
      </c>
      <c r="F200" s="2">
        <f>IF(D200&lt;Notes!$B$6,Notes!$C$6,IF(D200&lt;Notes!$B$7,Notes!$C$7,IF(D200&lt;Notes!$B$8,Notes!$C$8,Notes!$C$9)))</f>
        <v>5</v>
      </c>
      <c r="G200" s="5">
        <v>0</v>
      </c>
      <c r="H200" s="6">
        <f>MIN(Notes!$B$3,MAX(1,F200+G200))</f>
        <v>5</v>
      </c>
      <c r="I200" s="2">
        <f t="shared" si="7"/>
        <v>20</v>
      </c>
      <c r="J200" s="2">
        <f>MIN(E200+H200,Notes!$B$2)</f>
        <v>30</v>
      </c>
      <c r="K200" s="7"/>
    </row>
    <row r="201" spans="1:11" x14ac:dyDescent="0.25">
      <c r="A201" s="2">
        <f t="shared" si="6"/>
        <v>176</v>
      </c>
      <c r="B201" s="9" t="s">
        <v>219</v>
      </c>
      <c r="C201" s="9" t="s">
        <v>22</v>
      </c>
      <c r="D201" s="4">
        <v>19</v>
      </c>
      <c r="E201" s="5">
        <v>32</v>
      </c>
      <c r="F201" s="2">
        <f>IF(D201&lt;Notes!$B$6,Notes!$C$6,IF(D201&lt;Notes!$B$7,Notes!$C$7,IF(D201&lt;Notes!$B$8,Notes!$C$8,Notes!$C$9)))</f>
        <v>3</v>
      </c>
      <c r="G201" s="5">
        <v>0</v>
      </c>
      <c r="H201" s="6">
        <f>MIN(Notes!$B$3,MAX(1,F201+G201))</f>
        <v>3</v>
      </c>
      <c r="I201" s="2">
        <f t="shared" si="7"/>
        <v>29</v>
      </c>
      <c r="J201" s="2">
        <f>MIN(E201+H201,Notes!$B$2)</f>
        <v>35</v>
      </c>
      <c r="K201" s="7"/>
    </row>
    <row r="202" spans="1:11" x14ac:dyDescent="0.25">
      <c r="A202" s="2">
        <f t="shared" si="6"/>
        <v>189</v>
      </c>
      <c r="B202" s="10" t="s">
        <v>220</v>
      </c>
      <c r="C202" s="10" t="s">
        <v>30</v>
      </c>
      <c r="D202" s="4">
        <v>0.7</v>
      </c>
      <c r="E202" s="5">
        <v>29</v>
      </c>
      <c r="F202" s="2">
        <f>IF(D202&lt;Notes!$B$6,Notes!$C$6,IF(D202&lt;Notes!$B$7,Notes!$C$7,IF(D202&lt;Notes!$B$8,Notes!$C$8,Notes!$C$9)))</f>
        <v>5</v>
      </c>
      <c r="G202" s="5">
        <v>0</v>
      </c>
      <c r="H202" s="6">
        <f>MIN(Notes!$B$3,MAX(1,F202+G202))</f>
        <v>5</v>
      </c>
      <c r="I202" s="2">
        <f t="shared" si="7"/>
        <v>24</v>
      </c>
      <c r="J202" s="2">
        <f>MIN(E202+H202,Notes!$B$2)</f>
        <v>34</v>
      </c>
      <c r="K202" s="7"/>
    </row>
    <row r="203" spans="1:11" x14ac:dyDescent="0.25">
      <c r="A203" s="2">
        <f t="shared" si="6"/>
        <v>181</v>
      </c>
      <c r="B203" s="9" t="s">
        <v>221</v>
      </c>
      <c r="C203" s="9" t="s">
        <v>22</v>
      </c>
      <c r="D203" s="4">
        <v>3.5</v>
      </c>
      <c r="E203" s="5">
        <v>31</v>
      </c>
      <c r="F203" s="2">
        <f>IF(D203&lt;Notes!$B$6,Notes!$C$6,IF(D203&lt;Notes!$B$7,Notes!$C$7,IF(D203&lt;Notes!$B$8,Notes!$C$8,Notes!$C$9)))</f>
        <v>5</v>
      </c>
      <c r="G203" s="5">
        <v>0</v>
      </c>
      <c r="H203" s="6">
        <f>MIN(Notes!$B$3,MAX(1,F203+G203))</f>
        <v>5</v>
      </c>
      <c r="I203" s="2">
        <f t="shared" si="7"/>
        <v>26</v>
      </c>
      <c r="J203" s="2">
        <f>MIN(E203+H203,Notes!$B$2)</f>
        <v>36</v>
      </c>
      <c r="K203" s="7"/>
    </row>
    <row r="204" spans="1:11" x14ac:dyDescent="0.25">
      <c r="A204" s="2">
        <f t="shared" si="6"/>
        <v>185</v>
      </c>
      <c r="B204" s="11" t="s">
        <v>222</v>
      </c>
      <c r="C204" s="11" t="s">
        <v>33</v>
      </c>
      <c r="D204" s="4">
        <v>0.4</v>
      </c>
      <c r="E204" s="5">
        <v>30</v>
      </c>
      <c r="F204" s="2">
        <f>IF(D204&lt;Notes!$B$6,Notes!$C$6,IF(D204&lt;Notes!$B$7,Notes!$C$7,IF(D204&lt;Notes!$B$8,Notes!$C$8,Notes!$C$9)))</f>
        <v>5</v>
      </c>
      <c r="G204" s="5">
        <v>0</v>
      </c>
      <c r="H204" s="6">
        <f>MIN(Notes!$B$3,MAX(1,F204+G204))</f>
        <v>5</v>
      </c>
      <c r="I204" s="2">
        <f t="shared" si="7"/>
        <v>25</v>
      </c>
      <c r="J204" s="2">
        <f>MIN(E204+H204,Notes!$B$2)</f>
        <v>35</v>
      </c>
      <c r="K204" s="7"/>
    </row>
    <row r="205" spans="1:11" x14ac:dyDescent="0.25">
      <c r="A205" s="2">
        <f t="shared" si="6"/>
        <v>197</v>
      </c>
      <c r="B205" s="12" t="s">
        <v>223</v>
      </c>
      <c r="C205" s="12" t="s">
        <v>95</v>
      </c>
      <c r="D205" s="4">
        <v>0.22</v>
      </c>
      <c r="E205" s="5">
        <v>25</v>
      </c>
      <c r="F205" s="2">
        <f>IF(D205&lt;Notes!$B$6,Notes!$C$6,IF(D205&lt;Notes!$B$7,Notes!$C$7,IF(D205&lt;Notes!$B$8,Notes!$C$8,Notes!$C$9)))</f>
        <v>5</v>
      </c>
      <c r="G205" s="5">
        <v>0</v>
      </c>
      <c r="H205" s="6">
        <f>MIN(Notes!$B$3,MAX(1,F205+G205))</f>
        <v>5</v>
      </c>
      <c r="I205" s="2">
        <f t="shared" si="7"/>
        <v>20</v>
      </c>
      <c r="J205" s="2">
        <f>MIN(E205+H205,Notes!$B$2)</f>
        <v>30</v>
      </c>
      <c r="K205" s="7"/>
    </row>
    <row r="206" spans="1:11" x14ac:dyDescent="0.25">
      <c r="A206" s="2">
        <f t="shared" si="6"/>
        <v>197</v>
      </c>
      <c r="B206" s="11" t="s">
        <v>224</v>
      </c>
      <c r="C206" s="11" t="s">
        <v>33</v>
      </c>
      <c r="D206" s="4">
        <v>4.5999999999999999E-2</v>
      </c>
      <c r="E206" s="5">
        <v>25</v>
      </c>
      <c r="F206" s="2">
        <f>IF(D206&lt;Notes!$B$6,Notes!$C$6,IF(D206&lt;Notes!$B$7,Notes!$C$7,IF(D206&lt;Notes!$B$8,Notes!$C$8,Notes!$C$9)))</f>
        <v>5</v>
      </c>
      <c r="G206" s="5">
        <v>0</v>
      </c>
      <c r="H206" s="6">
        <f>MIN(Notes!$B$3,MAX(1,F206+G206))</f>
        <v>5</v>
      </c>
      <c r="I206" s="2">
        <f t="shared" si="7"/>
        <v>20</v>
      </c>
      <c r="J206" s="2">
        <f>MIN(E206+H206,Notes!$B$2)</f>
        <v>30</v>
      </c>
      <c r="K206" s="7"/>
    </row>
    <row r="207" spans="1:11" x14ac:dyDescent="0.25">
      <c r="A207" s="2">
        <f t="shared" si="6"/>
        <v>197</v>
      </c>
      <c r="B207" s="12" t="s">
        <v>225</v>
      </c>
      <c r="C207" s="12" t="s">
        <v>95</v>
      </c>
      <c r="D207" s="4">
        <v>1.4999999999999999E-2</v>
      </c>
      <c r="E207" s="5">
        <v>25</v>
      </c>
      <c r="F207" s="2">
        <f>IF(D207&lt;Notes!$B$6,Notes!$C$6,IF(D207&lt;Notes!$B$7,Notes!$C$7,IF(D207&lt;Notes!$B$8,Notes!$C$8,Notes!$C$9)))</f>
        <v>5</v>
      </c>
      <c r="G207" s="5">
        <v>0</v>
      </c>
      <c r="H207" s="6">
        <f>MIN(Notes!$B$3,MAX(1,F207+G207))</f>
        <v>5</v>
      </c>
      <c r="I207" s="2">
        <f t="shared" si="7"/>
        <v>20</v>
      </c>
      <c r="J207" s="2">
        <f>MIN(E207+H207,Notes!$B$2)</f>
        <v>30</v>
      </c>
      <c r="K207" s="7"/>
    </row>
    <row r="208" spans="1:11" x14ac:dyDescent="0.25">
      <c r="A208" s="2">
        <f t="shared" si="6"/>
        <v>197</v>
      </c>
      <c r="B208" s="11" t="s">
        <v>226</v>
      </c>
      <c r="C208" s="11" t="s">
        <v>33</v>
      </c>
      <c r="D208" s="4">
        <v>3.9E-2</v>
      </c>
      <c r="E208" s="5">
        <v>25</v>
      </c>
      <c r="F208" s="2">
        <f>IF(D208&lt;Notes!$B$6,Notes!$C$6,IF(D208&lt;Notes!$B$7,Notes!$C$7,IF(D208&lt;Notes!$B$8,Notes!$C$8,Notes!$C$9)))</f>
        <v>5</v>
      </c>
      <c r="G208" s="5">
        <v>0</v>
      </c>
      <c r="H208" s="6">
        <f>MIN(Notes!$B$3,MAX(1,F208+G208))</f>
        <v>5</v>
      </c>
      <c r="I208" s="2">
        <f t="shared" si="7"/>
        <v>20</v>
      </c>
      <c r="J208" s="2">
        <f>MIN(E208+H208,Notes!$B$2)</f>
        <v>30</v>
      </c>
      <c r="K208" s="7"/>
    </row>
    <row r="209" spans="1:11" x14ac:dyDescent="0.25">
      <c r="A209" s="2">
        <f t="shared" si="6"/>
        <v>197</v>
      </c>
      <c r="B209" s="11" t="s">
        <v>227</v>
      </c>
      <c r="C209" s="11" t="s">
        <v>33</v>
      </c>
      <c r="D209" s="4">
        <v>8.6999999999999994E-2</v>
      </c>
      <c r="E209" s="5">
        <v>25</v>
      </c>
      <c r="F209" s="2">
        <f>IF(D209&lt;Notes!$B$6,Notes!$C$6,IF(D209&lt;Notes!$B$7,Notes!$C$7,IF(D209&lt;Notes!$B$8,Notes!$C$8,Notes!$C$9)))</f>
        <v>5</v>
      </c>
      <c r="G209" s="5">
        <v>0</v>
      </c>
      <c r="H209" s="6">
        <f>MIN(Notes!$B$3,MAX(1,F209+G209))</f>
        <v>5</v>
      </c>
      <c r="I209" s="2">
        <f t="shared" si="7"/>
        <v>20</v>
      </c>
      <c r="J209" s="2">
        <f>MIN(E209+H209,Notes!$B$2)</f>
        <v>30</v>
      </c>
      <c r="K209" s="7"/>
    </row>
    <row r="210" spans="1:11" x14ac:dyDescent="0.25">
      <c r="A210" s="2">
        <f t="shared" si="6"/>
        <v>197</v>
      </c>
      <c r="B210" s="12" t="s">
        <v>228</v>
      </c>
      <c r="C210" s="12" t="s">
        <v>95</v>
      </c>
      <c r="D210" s="4">
        <v>4.4999999999999998E-2</v>
      </c>
      <c r="E210" s="5">
        <v>25</v>
      </c>
      <c r="F210" s="2">
        <f>IF(D210&lt;Notes!$B$6,Notes!$C$6,IF(D210&lt;Notes!$B$7,Notes!$C$7,IF(D210&lt;Notes!$B$8,Notes!$C$8,Notes!$C$9)))</f>
        <v>5</v>
      </c>
      <c r="G210" s="5">
        <v>0</v>
      </c>
      <c r="H210" s="6">
        <f>MIN(Notes!$B$3,MAX(1,F210+G210))</f>
        <v>5</v>
      </c>
      <c r="I210" s="2">
        <f t="shared" si="7"/>
        <v>20</v>
      </c>
      <c r="J210" s="2">
        <f>MIN(E210+H210,Notes!$B$2)</f>
        <v>30</v>
      </c>
      <c r="K210" s="7"/>
    </row>
    <row r="211" spans="1:11" x14ac:dyDescent="0.25">
      <c r="A211" s="2">
        <f t="shared" si="6"/>
        <v>197</v>
      </c>
      <c r="B211" s="12" t="s">
        <v>229</v>
      </c>
      <c r="C211" s="12" t="s">
        <v>95</v>
      </c>
      <c r="D211" s="4">
        <v>0.1</v>
      </c>
      <c r="E211" s="5">
        <v>25</v>
      </c>
      <c r="F211" s="2">
        <f>IF(D211&lt;Notes!$B$6,Notes!$C$6,IF(D211&lt;Notes!$B$7,Notes!$C$7,IF(D211&lt;Notes!$B$8,Notes!$C$8,Notes!$C$9)))</f>
        <v>5</v>
      </c>
      <c r="G211" s="5">
        <v>0</v>
      </c>
      <c r="H211" s="6">
        <f>MIN(Notes!$B$3,MAX(1,F211+G211))</f>
        <v>5</v>
      </c>
      <c r="I211" s="2">
        <f t="shared" si="7"/>
        <v>20</v>
      </c>
      <c r="J211" s="2">
        <f>MIN(E211+H211,Notes!$B$2)</f>
        <v>30</v>
      </c>
      <c r="K211" s="7"/>
    </row>
    <row r="212" spans="1:11" x14ac:dyDescent="0.25">
      <c r="A212" s="2">
        <f t="shared" si="6"/>
        <v>197</v>
      </c>
      <c r="B212" s="11" t="s">
        <v>230</v>
      </c>
      <c r="C212" s="11" t="s">
        <v>33</v>
      </c>
      <c r="D212" s="4">
        <v>1.6E-2</v>
      </c>
      <c r="E212" s="5">
        <v>25</v>
      </c>
      <c r="F212" s="2">
        <v>5</v>
      </c>
      <c r="G212" s="5">
        <v>0</v>
      </c>
      <c r="H212" s="6">
        <f>MIN(Notes!$B$3,MAX(1,F212+G212))</f>
        <v>5</v>
      </c>
      <c r="I212" s="2">
        <f t="shared" si="7"/>
        <v>20</v>
      </c>
      <c r="J212" s="2">
        <f>MIN(E212+H212,Notes!$B$2)</f>
        <v>30</v>
      </c>
      <c r="K212" s="7"/>
    </row>
  </sheetData>
  <autoFilter ref="A1:K212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7109375" defaultRowHeight="15" x14ac:dyDescent="0.25"/>
  <cols>
    <col min="1" max="1" width="16" customWidth="1"/>
    <col min="2" max="6" width="15" customWidth="1"/>
  </cols>
  <sheetData>
    <row r="1" spans="1:6" x14ac:dyDescent="0.25">
      <c r="A1" s="13" t="s">
        <v>2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</row>
    <row r="2" spans="1:6" x14ac:dyDescent="0.25">
      <c r="A2" s="14" t="s">
        <v>12</v>
      </c>
      <c r="B2" s="15">
        <f>COUNTIF('National Teams'!$C$2:$C$212,A2)</f>
        <v>55</v>
      </c>
      <c r="C2" s="15">
        <f>_xlfn.MAXIFS('National Teams'!$E$2:$E$212,'National Teams'!$C$2:$C$212,A2)</f>
        <v>85</v>
      </c>
      <c r="D2" s="16">
        <f>AVERAGEIF('National Teams'!$C$2:$C$212,A2,'National Teams'!$E$2:$E$212)</f>
        <v>66.545454545454547</v>
      </c>
      <c r="E2" s="15">
        <f>_xlfn.MINIFS('National Teams'!$E$2:$E$212,'National Teams'!$C$2:$C$212,A2)</f>
        <v>31</v>
      </c>
      <c r="F2" s="16">
        <f>AVERAGEIF('National Teams'!$C$2:$C$212,A2,'National Teams'!$H$2:$H$212)</f>
        <v>4.1090909090909093</v>
      </c>
    </row>
    <row r="3" spans="1:6" x14ac:dyDescent="0.25">
      <c r="A3" s="17" t="s">
        <v>15</v>
      </c>
      <c r="B3" s="15">
        <f>COUNTIF('National Teams'!$C$2:$C$212,A3)</f>
        <v>10</v>
      </c>
      <c r="C3" s="15">
        <f>_xlfn.MAXIFS('National Teams'!$E$2:$E$212,'National Teams'!$C$2:$C$212,A3)</f>
        <v>84</v>
      </c>
      <c r="D3" s="16">
        <f>AVERAGEIF('National Teams'!$C$2:$C$212,A3,'National Teams'!$E$2:$E$212)</f>
        <v>75.099999999999994</v>
      </c>
      <c r="E3" s="15">
        <f>_xlfn.MINIFS('National Teams'!$E$2:$E$212,'National Teams'!$C$2:$C$212,A3)</f>
        <v>62</v>
      </c>
      <c r="F3" s="16">
        <f>AVERAGEIF('National Teams'!$C$2:$C$212,A3,'National Teams'!$H$2:$H$212)</f>
        <v>3.1</v>
      </c>
    </row>
    <row r="4" spans="1:6" x14ac:dyDescent="0.25">
      <c r="A4" s="18" t="s">
        <v>33</v>
      </c>
      <c r="B4" s="15">
        <f>COUNTIF('National Teams'!$C$2:$C$212,A4)</f>
        <v>35</v>
      </c>
      <c r="C4" s="15">
        <f>_xlfn.MAXIFS('National Teams'!$E$2:$E$212,'National Teams'!$C$2:$C$212,A4)</f>
        <v>77</v>
      </c>
      <c r="D4" s="16">
        <f>AVERAGEIF('National Teams'!$C$2:$C$212,A4,'National Teams'!$E$2:$E$212)</f>
        <v>46.085714285714289</v>
      </c>
      <c r="E4" s="15">
        <f>_xlfn.MINIFS('National Teams'!$E$2:$E$212,'National Teams'!$C$2:$C$212,A4)</f>
        <v>25</v>
      </c>
      <c r="F4" s="16">
        <f>AVERAGEIF('National Teams'!$C$2:$C$212,A4,'National Teams'!$H$2:$H$212)</f>
        <v>4.5428571428571427</v>
      </c>
    </row>
    <row r="5" spans="1:6" x14ac:dyDescent="0.25">
      <c r="A5" s="19" t="s">
        <v>22</v>
      </c>
      <c r="B5" s="15">
        <f>COUNTIF('National Teams'!$C$2:$C$212,A5)</f>
        <v>54</v>
      </c>
      <c r="C5" s="15">
        <f>_xlfn.MAXIFS('National Teams'!$E$2:$E$212,'National Teams'!$C$2:$C$212,A5)</f>
        <v>82</v>
      </c>
      <c r="D5" s="16">
        <f>AVERAGEIF('National Teams'!$C$2:$C$212,A5,'National Teams'!$E$2:$E$212)</f>
        <v>57.518518518518519</v>
      </c>
      <c r="E5" s="15">
        <f>_xlfn.MINIFS('National Teams'!$E$2:$E$212,'National Teams'!$C$2:$C$212,A5)</f>
        <v>30</v>
      </c>
      <c r="F5" s="16">
        <f>AVERAGEIF('National Teams'!$C$2:$C$212,A5,'National Teams'!$H$2:$H$212)</f>
        <v>3.7037037037037037</v>
      </c>
    </row>
    <row r="6" spans="1:6" x14ac:dyDescent="0.25">
      <c r="A6" s="20" t="s">
        <v>30</v>
      </c>
      <c r="B6" s="15">
        <f>COUNTIF('National Teams'!$C$2:$C$212,A6)</f>
        <v>46</v>
      </c>
      <c r="C6" s="15">
        <f>_xlfn.MAXIFS('National Teams'!$E$2:$E$212,'National Teams'!$C$2:$C$212,A6)</f>
        <v>79</v>
      </c>
      <c r="D6" s="16">
        <f>AVERAGEIF('National Teams'!$C$2:$C$212,A6,'National Teams'!$E$2:$E$212)</f>
        <v>48.413043478260867</v>
      </c>
      <c r="E6" s="15">
        <f>_xlfn.MINIFS('National Teams'!$E$2:$E$212,'National Teams'!$C$2:$C$212,A6)</f>
        <v>25</v>
      </c>
      <c r="F6" s="16">
        <f>AVERAGEIF('National Teams'!$C$2:$C$212,A6,'National Teams'!$H$2:$H$212)</f>
        <v>3.4565217391304346</v>
      </c>
    </row>
    <row r="7" spans="1:6" x14ac:dyDescent="0.25">
      <c r="A7" s="21" t="s">
        <v>95</v>
      </c>
      <c r="B7" s="15">
        <f>COUNTIF('National Teams'!$C$2:$C$212,A7)</f>
        <v>11</v>
      </c>
      <c r="C7" s="15">
        <f>_xlfn.MAXIFS('National Teams'!$E$2:$E$212,'National Teams'!$C$2:$C$212,A7)</f>
        <v>65</v>
      </c>
      <c r="D7" s="16">
        <f>AVERAGEIF('National Teams'!$C$2:$C$212,A7,'National Teams'!$E$2:$E$212)</f>
        <v>30.363636363636363</v>
      </c>
      <c r="E7" s="15">
        <f>_xlfn.MINIFS('National Teams'!$E$2:$E$212,'National Teams'!$C$2:$C$212,A7)</f>
        <v>25</v>
      </c>
      <c r="F7" s="16">
        <f>AVERAGEIF('National Teams'!$C$2:$C$212,A7,'National Teams'!$H$2:$H$212)</f>
        <v>4.8181818181818183</v>
      </c>
    </row>
    <row r="8" spans="1:6" x14ac:dyDescent="0.25">
      <c r="A8" s="22" t="s">
        <v>236</v>
      </c>
      <c r="B8" s="23">
        <f>SUM(B2:B7)</f>
        <v>211</v>
      </c>
      <c r="C8" s="23">
        <f>MAX('National Teams'!$E$2:$E$212)</f>
        <v>85</v>
      </c>
      <c r="D8" s="24">
        <f>AVERAGE('National Teams'!$E$2:$E$212)</f>
        <v>55.407582938388629</v>
      </c>
      <c r="E8" s="23">
        <f>MIN('National Teams'!$E$2:$E$212)</f>
        <v>25</v>
      </c>
      <c r="F8" s="24">
        <f>AVERAGE('National Teams'!$H$2:$H$212)</f>
        <v>3.9241706161137442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Normal="100" workbookViewId="0">
      <selection activeCell="C3" sqref="C3"/>
    </sheetView>
  </sheetViews>
  <sheetFormatPr defaultColWidth="8.7109375" defaultRowHeight="15" x14ac:dyDescent="0.25"/>
  <cols>
    <col min="1" max="1" width="34" customWidth="1"/>
    <col min="2" max="2" width="16" customWidth="1"/>
    <col min="3" max="3" width="12" customWidth="1"/>
    <col min="4" max="4" width="70" customWidth="1"/>
  </cols>
  <sheetData>
    <row r="1" spans="1:4" ht="15.75" x14ac:dyDescent="0.25">
      <c r="A1" s="25" t="s">
        <v>237</v>
      </c>
    </row>
    <row r="2" spans="1:4" x14ac:dyDescent="0.25">
      <c r="A2" s="26" t="s">
        <v>238</v>
      </c>
      <c r="B2" s="27">
        <v>85</v>
      </c>
      <c r="D2" s="28" t="s">
        <v>239</v>
      </c>
    </row>
    <row r="3" spans="1:4" x14ac:dyDescent="0.25">
      <c r="A3" s="26" t="s">
        <v>240</v>
      </c>
      <c r="B3" s="27">
        <v>5</v>
      </c>
      <c r="D3" s="28" t="s">
        <v>241</v>
      </c>
    </row>
    <row r="5" spans="1:4" x14ac:dyDescent="0.25">
      <c r="A5" s="29" t="s">
        <v>242</v>
      </c>
      <c r="B5" s="29" t="s">
        <v>243</v>
      </c>
      <c r="C5" s="29" t="s">
        <v>244</v>
      </c>
    </row>
    <row r="6" spans="1:4" x14ac:dyDescent="0.25">
      <c r="A6" s="26" t="s">
        <v>245</v>
      </c>
      <c r="B6" s="27">
        <v>5</v>
      </c>
      <c r="C6" s="27">
        <v>5</v>
      </c>
      <c r="D6" s="28" t="s">
        <v>246</v>
      </c>
    </row>
    <row r="7" spans="1:4" x14ac:dyDescent="0.25">
      <c r="A7" s="26" t="s">
        <v>247</v>
      </c>
      <c r="B7" s="27">
        <v>15</v>
      </c>
      <c r="C7" s="27">
        <v>4</v>
      </c>
    </row>
    <row r="8" spans="1:4" x14ac:dyDescent="0.25">
      <c r="A8" s="26" t="s">
        <v>248</v>
      </c>
      <c r="B8" s="27">
        <v>40</v>
      </c>
      <c r="C8" s="27">
        <v>3</v>
      </c>
    </row>
    <row r="9" spans="1:4" x14ac:dyDescent="0.25">
      <c r="A9" s="26" t="s">
        <v>249</v>
      </c>
      <c r="B9" s="26" t="s">
        <v>250</v>
      </c>
      <c r="C9" s="27">
        <v>2</v>
      </c>
      <c r="D9" s="28" t="s">
        <v>251</v>
      </c>
    </row>
    <row r="12" spans="1:4" x14ac:dyDescent="0.25">
      <c r="A12" s="30" t="s">
        <v>252</v>
      </c>
      <c r="D12" s="31"/>
    </row>
    <row r="13" spans="1:4" ht="25.5" x14ac:dyDescent="0.25">
      <c r="A13" s="30" t="s">
        <v>4</v>
      </c>
      <c r="D13" s="31" t="s">
        <v>253</v>
      </c>
    </row>
    <row r="14" spans="1:4" x14ac:dyDescent="0.25">
      <c r="A14" s="30" t="s">
        <v>254</v>
      </c>
      <c r="D14" s="31" t="s">
        <v>255</v>
      </c>
    </row>
    <row r="15" spans="1:4" ht="38.25" x14ac:dyDescent="0.25">
      <c r="A15" s="30" t="s">
        <v>6</v>
      </c>
      <c r="D15" s="31" t="s">
        <v>256</v>
      </c>
    </row>
    <row r="16" spans="1:4" ht="38.25" x14ac:dyDescent="0.25">
      <c r="A16" s="30" t="s">
        <v>7</v>
      </c>
      <c r="D16" s="31" t="s">
        <v>257</v>
      </c>
    </row>
    <row r="17" spans="1:4" x14ac:dyDescent="0.25">
      <c r="A17" s="30" t="s">
        <v>258</v>
      </c>
      <c r="D17" s="31" t="s">
        <v>259</v>
      </c>
    </row>
    <row r="18" spans="1:4" x14ac:dyDescent="0.25">
      <c r="A18" s="32"/>
      <c r="D18" s="31"/>
    </row>
    <row r="19" spans="1:4" ht="38.25" x14ac:dyDescent="0.25">
      <c r="A19" s="30" t="s">
        <v>260</v>
      </c>
      <c r="D19" s="31" t="s">
        <v>261</v>
      </c>
    </row>
    <row r="20" spans="1:4" ht="25.5" x14ac:dyDescent="0.25">
      <c r="A20" s="30" t="s">
        <v>262</v>
      </c>
      <c r="D20" s="31" t="s">
        <v>263</v>
      </c>
    </row>
    <row r="21" spans="1:4" x14ac:dyDescent="0.25">
      <c r="A21" s="32"/>
      <c r="D21" s="31"/>
    </row>
    <row r="22" spans="1:4" ht="51" x14ac:dyDescent="0.25">
      <c r="A22" s="30" t="s">
        <v>264</v>
      </c>
      <c r="D22" s="31" t="s">
        <v>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Teams</vt:lpstr>
      <vt:lpstr>By Confederation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Jens Eric Weirich</cp:lastModifiedBy>
  <cp:revision>0</cp:revision>
  <dcterms:created xsi:type="dcterms:W3CDTF">2026-10-11T14:11:49Z</dcterms:created>
  <dcterms:modified xsi:type="dcterms:W3CDTF">2026-10-12T15:27:04Z</dcterms:modified>
  <dc:language>en-US</dc:language>
</cp:coreProperties>
</file>