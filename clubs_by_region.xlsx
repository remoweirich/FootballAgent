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ns\Documents\fussball-agent-app\FootballAgent\"/>
    </mc:Choice>
  </mc:AlternateContent>
  <xr:revisionPtr revIDLastSave="0" documentId="13_ncr:1_{9F4FB906-3EFC-443B-A30B-B8EA533465C9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Clubs by Region" sheetId="1" r:id="rId1"/>
    <sheet name="Clubs by Division" sheetId="2" r:id="rId2"/>
    <sheet name="Scouting by Count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G10" i="3"/>
  <c r="AI10" i="3"/>
  <c r="AJ10" i="3"/>
  <c r="B10" i="3"/>
  <c r="B9" i="3"/>
  <c r="C4" i="3"/>
  <c r="D4" i="3"/>
  <c r="F4" i="3"/>
  <c r="E4" i="3"/>
  <c r="G4" i="3"/>
  <c r="I4" i="3"/>
  <c r="J4" i="3"/>
  <c r="H4" i="3"/>
  <c r="K4" i="3"/>
  <c r="K9" i="3" s="1"/>
  <c r="L4" i="3"/>
  <c r="M4" i="3"/>
  <c r="O4" i="3"/>
  <c r="N4" i="3"/>
  <c r="P4" i="3"/>
  <c r="P9" i="3" s="1"/>
  <c r="Q4" i="3"/>
  <c r="T4" i="3"/>
  <c r="S4" i="3"/>
  <c r="R4" i="3"/>
  <c r="V4" i="3"/>
  <c r="U4" i="3"/>
  <c r="Y4" i="3"/>
  <c r="AA4" i="3"/>
  <c r="AA9" i="3" s="1"/>
  <c r="W4" i="3"/>
  <c r="X4" i="3"/>
  <c r="Z4" i="3"/>
  <c r="AB4" i="3"/>
  <c r="AG4" i="3"/>
  <c r="AD4" i="3"/>
  <c r="AC4" i="3"/>
  <c r="AE4" i="3"/>
  <c r="AE9" i="3" s="1"/>
  <c r="AK4" i="3"/>
  <c r="AK9" i="3" s="1"/>
  <c r="AK10" i="3" s="1"/>
  <c r="AL4" i="3"/>
  <c r="AI4" i="3"/>
  <c r="AI9" i="3" s="1"/>
  <c r="AJ4" i="3"/>
  <c r="AJ9" i="3" s="1"/>
  <c r="AF4" i="3"/>
  <c r="AM4" i="3"/>
  <c r="AH4" i="3"/>
  <c r="B4" i="3"/>
  <c r="B6" i="3"/>
  <c r="B7" i="3" s="1"/>
  <c r="G6" i="3"/>
  <c r="G7" i="3" s="1"/>
  <c r="R6" i="3"/>
  <c r="R7" i="3" s="1"/>
  <c r="R9" i="3" s="1"/>
  <c r="M6" i="3"/>
  <c r="M7" i="3" s="1"/>
  <c r="C6" i="3"/>
  <c r="C7" i="3" s="1"/>
  <c r="K6" i="3"/>
  <c r="K7" i="3" s="1"/>
  <c r="X6" i="3"/>
  <c r="X7" i="3" s="1"/>
  <c r="AM6" i="3"/>
  <c r="AM7" i="3" s="1"/>
  <c r="AJ6" i="3"/>
  <c r="AJ7" i="3" s="1"/>
  <c r="W6" i="3"/>
  <c r="W7" i="3" s="1"/>
  <c r="AB6" i="3"/>
  <c r="AB7" i="3" s="1"/>
  <c r="AB9" i="3" s="1"/>
  <c r="AK6" i="3"/>
  <c r="AK7" i="3" s="1"/>
  <c r="L6" i="3"/>
  <c r="L7" i="3" s="1"/>
  <c r="I6" i="3"/>
  <c r="I7" i="3" s="1"/>
  <c r="I9" i="3" s="1"/>
  <c r="P6" i="3"/>
  <c r="P7" i="3" s="1"/>
  <c r="S6" i="3"/>
  <c r="S7" i="3" s="1"/>
  <c r="AA6" i="3"/>
  <c r="AA7" i="3" s="1"/>
  <c r="AD6" i="3"/>
  <c r="AD7" i="3" s="1"/>
  <c r="O6" i="3"/>
  <c r="O7" i="3" s="1"/>
  <c r="T6" i="3"/>
  <c r="T7" i="3" s="1"/>
  <c r="AF6" i="3"/>
  <c r="AF7" i="3" s="1"/>
  <c r="AF9" i="3" s="1"/>
  <c r="AF10" i="3" s="1"/>
  <c r="AH6" i="3"/>
  <c r="AH7" i="3" s="1"/>
  <c r="AH9" i="3" s="1"/>
  <c r="AH10" i="3" s="1"/>
  <c r="AG6" i="3"/>
  <c r="AG7" i="3" s="1"/>
  <c r="V6" i="3"/>
  <c r="V7" i="3" s="1"/>
  <c r="Y6" i="3"/>
  <c r="Y7" i="3" s="1"/>
  <c r="AL6" i="3"/>
  <c r="AL7" i="3" s="1"/>
  <c r="AC6" i="3"/>
  <c r="AC7" i="3" s="1"/>
  <c r="AE6" i="3"/>
  <c r="AE7" i="3" s="1"/>
  <c r="E6" i="3"/>
  <c r="E7" i="3" s="1"/>
  <c r="Q6" i="3"/>
  <c r="Q7" i="3" s="1"/>
  <c r="U6" i="3"/>
  <c r="U7" i="3" s="1"/>
  <c r="Z6" i="3"/>
  <c r="Z7" i="3" s="1"/>
  <c r="AI6" i="3"/>
  <c r="AI7" i="3" s="1"/>
  <c r="D6" i="3"/>
  <c r="D7" i="3" s="1"/>
  <c r="F6" i="3"/>
  <c r="F7" i="3" s="1"/>
  <c r="J6" i="3"/>
  <c r="J7" i="3" s="1"/>
  <c r="J9" i="3" s="1"/>
  <c r="H6" i="3"/>
  <c r="H7" i="3" s="1"/>
  <c r="N6" i="3"/>
  <c r="N7" i="3" s="1"/>
  <c r="AM9" i="2"/>
  <c r="AM10" i="2" s="1"/>
  <c r="AM7" i="2"/>
  <c r="AM8" i="2" s="1"/>
  <c r="AM11" i="2" s="1"/>
  <c r="AM12" i="2" s="1"/>
  <c r="AM13" i="2" s="1"/>
  <c r="Z9" i="2"/>
  <c r="Z10" i="2" s="1"/>
  <c r="Z7" i="2"/>
  <c r="Z8" i="2" s="1"/>
  <c r="Z11" i="2" s="1"/>
  <c r="Z12" i="2" s="1"/>
  <c r="Z13" i="2" s="1"/>
  <c r="U9" i="2"/>
  <c r="U10" i="2" s="1"/>
  <c r="U7" i="2"/>
  <c r="U8" i="2" s="1"/>
  <c r="U11" i="2" s="1"/>
  <c r="U12" i="2" s="1"/>
  <c r="U13" i="2" s="1"/>
  <c r="P9" i="2"/>
  <c r="P10" i="2" s="1"/>
  <c r="P7" i="2"/>
  <c r="P8" i="2" s="1"/>
  <c r="P11" i="2" s="1"/>
  <c r="P12" i="2" s="1"/>
  <c r="P13" i="2" s="1"/>
  <c r="O9" i="2"/>
  <c r="O10" i="2" s="1"/>
  <c r="O8" i="2"/>
  <c r="O11" i="2" s="1"/>
  <c r="O12" i="2" s="1"/>
  <c r="O13" i="2" s="1"/>
  <c r="O7" i="2"/>
  <c r="J8" i="2"/>
  <c r="J9" i="2"/>
  <c r="J10" i="2" s="1"/>
  <c r="J7" i="2"/>
  <c r="AQ9" i="2"/>
  <c r="AQ10" i="2" s="1"/>
  <c r="AQ7" i="2"/>
  <c r="AQ8" i="2" s="1"/>
  <c r="AQ11" i="2" s="1"/>
  <c r="AQ12" i="2" s="1"/>
  <c r="AQ13" i="2" s="1"/>
  <c r="AL9" i="2"/>
  <c r="AL10" i="2" s="1"/>
  <c r="AL7" i="2"/>
  <c r="AL8" i="2" s="1"/>
  <c r="AL11" i="2" s="1"/>
  <c r="AL12" i="2" s="1"/>
  <c r="AL13" i="2" s="1"/>
  <c r="AH9" i="2"/>
  <c r="AH10" i="2" s="1"/>
  <c r="AH7" i="2"/>
  <c r="AH8" i="2" s="1"/>
  <c r="AH11" i="2" s="1"/>
  <c r="AH12" i="2" s="1"/>
  <c r="AH13" i="2" s="1"/>
  <c r="AD9" i="2"/>
  <c r="AD10" i="2" s="1"/>
  <c r="AD7" i="2"/>
  <c r="AD8" i="2" s="1"/>
  <c r="AD11" i="2" s="1"/>
  <c r="AD12" i="2" s="1"/>
  <c r="AD13" i="2" s="1"/>
  <c r="Y9" i="2"/>
  <c r="Y10" i="2" s="1"/>
  <c r="Y7" i="2"/>
  <c r="Y8" i="2" s="1"/>
  <c r="Y11" i="2" s="1"/>
  <c r="Y12" i="2" s="1"/>
  <c r="Y13" i="2" s="1"/>
  <c r="T9" i="2"/>
  <c r="T10" i="2" s="1"/>
  <c r="T7" i="2"/>
  <c r="T8" i="2" s="1"/>
  <c r="N9" i="2"/>
  <c r="N10" i="2" s="1"/>
  <c r="N7" i="2"/>
  <c r="N8" i="2" s="1"/>
  <c r="N11" i="2" s="1"/>
  <c r="N12" i="2" s="1"/>
  <c r="N13" i="2" s="1"/>
  <c r="I9" i="2"/>
  <c r="I10" i="2" s="1"/>
  <c r="I7" i="2"/>
  <c r="I8" i="2" s="1"/>
  <c r="I11" i="2" s="1"/>
  <c r="I12" i="2" s="1"/>
  <c r="I13" i="2" s="1"/>
  <c r="E9" i="2"/>
  <c r="E10" i="2" s="1"/>
  <c r="E8" i="2"/>
  <c r="E7" i="2"/>
  <c r="AP9" i="2"/>
  <c r="AP10" i="2" s="1"/>
  <c r="AP7" i="2"/>
  <c r="AP8" i="2" s="1"/>
  <c r="AP11" i="2" s="1"/>
  <c r="AP12" i="2" s="1"/>
  <c r="AP13" i="2" s="1"/>
  <c r="AK9" i="2"/>
  <c r="AK10" i="2" s="1"/>
  <c r="AK7" i="2"/>
  <c r="AK8" i="2" s="1"/>
  <c r="AK11" i="2" s="1"/>
  <c r="AK12" i="2" s="1"/>
  <c r="AK13" i="2" s="1"/>
  <c r="AG9" i="2"/>
  <c r="AG10" i="2" s="1"/>
  <c r="AG7" i="2"/>
  <c r="AG8" i="2" s="1"/>
  <c r="AG11" i="2" s="1"/>
  <c r="AG12" i="2" s="1"/>
  <c r="AG13" i="2" s="1"/>
  <c r="AC9" i="2"/>
  <c r="AC10" i="2" s="1"/>
  <c r="AC7" i="2"/>
  <c r="AC8" i="2" s="1"/>
  <c r="X9" i="2"/>
  <c r="X10" i="2" s="1"/>
  <c r="X7" i="2"/>
  <c r="X8" i="2" s="1"/>
  <c r="X11" i="2" s="1"/>
  <c r="X12" i="2" s="1"/>
  <c r="X13" i="2" s="1"/>
  <c r="S9" i="2"/>
  <c r="S10" i="2" s="1"/>
  <c r="S7" i="2"/>
  <c r="S8" i="2" s="1"/>
  <c r="S11" i="2" s="1"/>
  <c r="S12" i="2" s="1"/>
  <c r="S13" i="2" s="1"/>
  <c r="M9" i="2"/>
  <c r="M10" i="2" s="1"/>
  <c r="M7" i="2"/>
  <c r="M8" i="2" s="1"/>
  <c r="H9" i="2"/>
  <c r="H10" i="2" s="1"/>
  <c r="H7" i="2"/>
  <c r="H8" i="2" s="1"/>
  <c r="H11" i="2" s="1"/>
  <c r="H12" i="2" s="1"/>
  <c r="H13" i="2" s="1"/>
  <c r="D10" i="2"/>
  <c r="D8" i="2"/>
  <c r="D9" i="2"/>
  <c r="D7" i="2"/>
  <c r="AO9" i="2"/>
  <c r="AO10" i="2" s="1"/>
  <c r="AO7" i="2"/>
  <c r="AO8" i="2" s="1"/>
  <c r="AJ9" i="2"/>
  <c r="AJ10" i="2" s="1"/>
  <c r="AJ7" i="2"/>
  <c r="AJ8" i="2" s="1"/>
  <c r="AJ11" i="2" s="1"/>
  <c r="AJ12" i="2" s="1"/>
  <c r="AJ13" i="2" s="1"/>
  <c r="AF9" i="2"/>
  <c r="AF10" i="2" s="1"/>
  <c r="AF7" i="2"/>
  <c r="AF8" i="2" s="1"/>
  <c r="AF11" i="2" s="1"/>
  <c r="AF12" i="2" s="1"/>
  <c r="AF13" i="2" s="1"/>
  <c r="AB9" i="2"/>
  <c r="AB10" i="2" s="1"/>
  <c r="AB7" i="2"/>
  <c r="AB8" i="2" s="1"/>
  <c r="AB11" i="2" s="1"/>
  <c r="AB12" i="2" s="1"/>
  <c r="AB13" i="2" s="1"/>
  <c r="W9" i="2"/>
  <c r="W10" i="2" s="1"/>
  <c r="W7" i="2"/>
  <c r="W8" i="2" s="1"/>
  <c r="W11" i="2" s="1"/>
  <c r="W12" i="2" s="1"/>
  <c r="W13" i="2" s="1"/>
  <c r="R9" i="2"/>
  <c r="R10" i="2" s="1"/>
  <c r="R7" i="2"/>
  <c r="R8" i="2" s="1"/>
  <c r="R11" i="2" s="1"/>
  <c r="R12" i="2" s="1"/>
  <c r="R13" i="2" s="1"/>
  <c r="L9" i="2"/>
  <c r="L10" i="2" s="1"/>
  <c r="L7" i="2"/>
  <c r="L8" i="2" s="1"/>
  <c r="L11" i="2" s="1"/>
  <c r="L12" i="2" s="1"/>
  <c r="L13" i="2" s="1"/>
  <c r="G9" i="2"/>
  <c r="G10" i="2" s="1"/>
  <c r="G7" i="2"/>
  <c r="G8" i="2" s="1"/>
  <c r="G11" i="2" s="1"/>
  <c r="G12" i="2" s="1"/>
  <c r="G13" i="2" s="1"/>
  <c r="C10" i="2"/>
  <c r="C9" i="2"/>
  <c r="C7" i="2"/>
  <c r="C8" i="2" s="1"/>
  <c r="F13" i="2"/>
  <c r="AN9" i="2"/>
  <c r="AN10" i="2" s="1"/>
  <c r="AN8" i="2"/>
  <c r="AN11" i="2" s="1"/>
  <c r="AN12" i="2" s="1"/>
  <c r="AN13" i="2" s="1"/>
  <c r="AI9" i="2"/>
  <c r="AI10" i="2" s="1"/>
  <c r="AI8" i="2"/>
  <c r="AI11" i="2" s="1"/>
  <c r="AI12" i="2" s="1"/>
  <c r="AI13" i="2" s="1"/>
  <c r="AE9" i="2"/>
  <c r="AE10" i="2" s="1"/>
  <c r="AE8" i="2"/>
  <c r="AE11" i="2" s="1"/>
  <c r="AE12" i="2" s="1"/>
  <c r="AE13" i="2" s="1"/>
  <c r="AA9" i="2"/>
  <c r="AA10" i="2" s="1"/>
  <c r="AA8" i="2"/>
  <c r="AA11" i="2" s="1"/>
  <c r="AA12" i="2" s="1"/>
  <c r="AA13" i="2" s="1"/>
  <c r="V9" i="2"/>
  <c r="V10" i="2" s="1"/>
  <c r="V8" i="2"/>
  <c r="V11" i="2" s="1"/>
  <c r="V12" i="2" s="1"/>
  <c r="V13" i="2" s="1"/>
  <c r="Q9" i="2"/>
  <c r="Q10" i="2" s="1"/>
  <c r="Q11" i="2" s="1"/>
  <c r="Q12" i="2" s="1"/>
  <c r="Q13" i="2" s="1"/>
  <c r="Q8" i="2"/>
  <c r="K8" i="2"/>
  <c r="F8" i="2"/>
  <c r="K11" i="2"/>
  <c r="K12" i="2" s="1"/>
  <c r="K13" i="2" s="1"/>
  <c r="F11" i="2"/>
  <c r="F12" i="2" s="1"/>
  <c r="B11" i="2"/>
  <c r="B12" i="2" s="1"/>
  <c r="B13" i="2" s="1"/>
  <c r="K10" i="2"/>
  <c r="F10" i="2"/>
  <c r="B10" i="2"/>
  <c r="K9" i="2"/>
  <c r="F9" i="2"/>
  <c r="B9" i="2"/>
  <c r="B8" i="2"/>
  <c r="AN7" i="2"/>
  <c r="AI7" i="2"/>
  <c r="AE7" i="2"/>
  <c r="AA7" i="2"/>
  <c r="V7" i="2"/>
  <c r="Q7" i="2"/>
  <c r="K7" i="2"/>
  <c r="F7" i="2"/>
  <c r="B7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Z13" i="1"/>
  <c r="AZ12" i="1"/>
  <c r="AZ11" i="1"/>
  <c r="AZ10" i="1"/>
  <c r="AY9" i="1"/>
  <c r="AZ9" i="1"/>
  <c r="BA9" i="1"/>
  <c r="BB9" i="1"/>
  <c r="BC9" i="1"/>
  <c r="AX9" i="1"/>
  <c r="AY8" i="1"/>
  <c r="AZ8" i="1"/>
  <c r="BA8" i="1"/>
  <c r="BB8" i="1"/>
  <c r="BC8" i="1"/>
  <c r="AY7" i="1"/>
  <c r="AZ7" i="1"/>
  <c r="BA7" i="1"/>
  <c r="BB7" i="1"/>
  <c r="BC7" i="1"/>
  <c r="AX7" i="1"/>
  <c r="BI3" i="1"/>
  <c r="AZ3" i="1"/>
  <c r="BA3" i="1"/>
  <c r="BB3" i="1"/>
  <c r="BC3" i="1"/>
  <c r="BD3" i="1"/>
  <c r="BE3" i="1"/>
  <c r="BF3" i="1"/>
  <c r="BG3" i="1"/>
  <c r="BH3" i="1"/>
  <c r="AY3" i="1"/>
  <c r="BE7" i="1"/>
  <c r="BE8" i="1" s="1"/>
  <c r="BF7" i="1"/>
  <c r="BF8" i="1" s="1"/>
  <c r="BG7" i="1"/>
  <c r="BG8" i="1" s="1"/>
  <c r="BH7" i="1"/>
  <c r="BH8" i="1" s="1"/>
  <c r="BI7" i="1"/>
  <c r="BI8" i="1" s="1"/>
  <c r="BI11" i="1" s="1"/>
  <c r="BI12" i="1" s="1"/>
  <c r="BI13" i="1" s="1"/>
  <c r="BD7" i="1"/>
  <c r="BD8" i="1" s="1"/>
  <c r="BE9" i="1"/>
  <c r="BE10" i="1" s="1"/>
  <c r="BF9" i="1"/>
  <c r="BF10" i="1" s="1"/>
  <c r="BG9" i="1"/>
  <c r="BG10" i="1" s="1"/>
  <c r="BH9" i="1"/>
  <c r="BH10" i="1" s="1"/>
  <c r="BI9" i="1"/>
  <c r="BD9" i="1"/>
  <c r="BD10" i="1" s="1"/>
  <c r="BI10" i="1"/>
  <c r="AY10" i="1"/>
  <c r="BA10" i="1"/>
  <c r="BB10" i="1"/>
  <c r="BC10" i="1"/>
  <c r="AX10" i="1"/>
  <c r="AX8" i="1"/>
  <c r="AW7" i="1"/>
  <c r="AW8" i="1" s="1"/>
  <c r="AX3" i="1"/>
  <c r="R9" i="1"/>
  <c r="R10" i="1" s="1"/>
  <c r="S9" i="1"/>
  <c r="S10" i="1" s="1"/>
  <c r="T9" i="1"/>
  <c r="T10" i="1" s="1"/>
  <c r="U9" i="1"/>
  <c r="U10" i="1" s="1"/>
  <c r="V9" i="1"/>
  <c r="V10" i="1" s="1"/>
  <c r="W9" i="1"/>
  <c r="W10" i="1" s="1"/>
  <c r="Q9" i="1"/>
  <c r="Q10" i="1" s="1"/>
  <c r="R7" i="1"/>
  <c r="R8" i="1" s="1"/>
  <c r="S7" i="1"/>
  <c r="S8" i="1" s="1"/>
  <c r="T7" i="1"/>
  <c r="T8" i="1" s="1"/>
  <c r="U7" i="1"/>
  <c r="U8" i="1" s="1"/>
  <c r="V7" i="1"/>
  <c r="V8" i="1" s="1"/>
  <c r="W7" i="1"/>
  <c r="W8" i="1" s="1"/>
  <c r="Q7" i="1"/>
  <c r="Q8" i="1" s="1"/>
  <c r="S3" i="1"/>
  <c r="T3" i="1"/>
  <c r="R3" i="1"/>
  <c r="AS7" i="1"/>
  <c r="AT7" i="1"/>
  <c r="AU7" i="1"/>
  <c r="AU8" i="1" s="1"/>
  <c r="AV7" i="1"/>
  <c r="AV8" i="1" s="1"/>
  <c r="AS8" i="1"/>
  <c r="AT8" i="1"/>
  <c r="AS9" i="1"/>
  <c r="AS10" i="1" s="1"/>
  <c r="AT9" i="1"/>
  <c r="AT10" i="1" s="1"/>
  <c r="AU9" i="1"/>
  <c r="AU10" i="1" s="1"/>
  <c r="AV9" i="1"/>
  <c r="AV10" i="1" s="1"/>
  <c r="AW9" i="1"/>
  <c r="AW10" i="1" s="1"/>
  <c r="AR9" i="1"/>
  <c r="AR10" i="1" s="1"/>
  <c r="AR7" i="1"/>
  <c r="AR8" i="1" s="1"/>
  <c r="AM7" i="1"/>
  <c r="AM8" i="1" s="1"/>
  <c r="AN7" i="1"/>
  <c r="AO7" i="1"/>
  <c r="AP7" i="1"/>
  <c r="AQ7" i="1"/>
  <c r="AN8" i="1"/>
  <c r="AO8" i="1"/>
  <c r="AP8" i="1"/>
  <c r="AQ8" i="1"/>
  <c r="AN9" i="1"/>
  <c r="AN10" i="1" s="1"/>
  <c r="AO9" i="1"/>
  <c r="AO10" i="1" s="1"/>
  <c r="AP9" i="1"/>
  <c r="AP10" i="1" s="1"/>
  <c r="AQ9" i="1"/>
  <c r="AQ10" i="1" s="1"/>
  <c r="AM9" i="1"/>
  <c r="AM10" i="1" s="1"/>
  <c r="D7" i="1"/>
  <c r="D8" i="1" s="1"/>
  <c r="E7" i="1"/>
  <c r="E8" i="1" s="1"/>
  <c r="F7" i="1"/>
  <c r="F8" i="1" s="1"/>
  <c r="G7" i="1"/>
  <c r="G8" i="1" s="1"/>
  <c r="B7" i="1"/>
  <c r="B8" i="1" s="1"/>
  <c r="C7" i="1"/>
  <c r="C8" i="1" s="1"/>
  <c r="J7" i="1"/>
  <c r="J8" i="1" s="1"/>
  <c r="K7" i="1"/>
  <c r="K8" i="1" s="1"/>
  <c r="L7" i="1"/>
  <c r="L8" i="1" s="1"/>
  <c r="M7" i="1"/>
  <c r="M8" i="1" s="1"/>
  <c r="N7" i="1"/>
  <c r="N8" i="1" s="1"/>
  <c r="O7" i="1"/>
  <c r="O8" i="1" s="1"/>
  <c r="P7" i="1"/>
  <c r="P8" i="1" s="1"/>
  <c r="H7" i="1"/>
  <c r="H8" i="1" s="1"/>
  <c r="I7" i="1"/>
  <c r="I8" i="1" s="1"/>
  <c r="P39" i="1"/>
  <c r="P3" i="1" s="1"/>
  <c r="O39" i="1"/>
  <c r="O3" i="1" s="1"/>
  <c r="N39" i="1"/>
  <c r="N3" i="1" s="1"/>
  <c r="M39" i="1"/>
  <c r="M3" i="1" s="1"/>
  <c r="L39" i="1"/>
  <c r="L3" i="1" s="1"/>
  <c r="K39" i="1"/>
  <c r="K3" i="1" s="1"/>
  <c r="J39" i="1"/>
  <c r="J3" i="1" s="1"/>
  <c r="I39" i="1"/>
  <c r="I3" i="1" s="1"/>
  <c r="H39" i="1"/>
  <c r="H3" i="1" s="1"/>
  <c r="X7" i="1"/>
  <c r="X8" i="1" s="1"/>
  <c r="Z7" i="1"/>
  <c r="Z8" i="1" s="1"/>
  <c r="AA7" i="1"/>
  <c r="AA8" i="1" s="1"/>
  <c r="AB7" i="1"/>
  <c r="AB8" i="1" s="1"/>
  <c r="AC7" i="1"/>
  <c r="AC8" i="1" s="1"/>
  <c r="Y7" i="1"/>
  <c r="Y8" i="1" s="1"/>
  <c r="Y9" i="1"/>
  <c r="Y10" i="1" s="1"/>
  <c r="Z9" i="1"/>
  <c r="Z10" i="1" s="1"/>
  <c r="AA9" i="1"/>
  <c r="AA10" i="1" s="1"/>
  <c r="AB9" i="1"/>
  <c r="AB10" i="1" s="1"/>
  <c r="AC9" i="1"/>
  <c r="AC10" i="1" s="1"/>
  <c r="X9" i="1"/>
  <c r="X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H9" i="1"/>
  <c r="H10" i="1" s="1"/>
  <c r="C9" i="1"/>
  <c r="C10" i="1" s="1"/>
  <c r="D9" i="1"/>
  <c r="D10" i="1" s="1"/>
  <c r="E9" i="1"/>
  <c r="E10" i="1" s="1"/>
  <c r="F9" i="1"/>
  <c r="F10" i="1" s="1"/>
  <c r="G9" i="1"/>
  <c r="G10" i="1" s="1"/>
  <c r="B9" i="1"/>
  <c r="B10" i="1" s="1"/>
  <c r="AE9" i="1"/>
  <c r="AE10" i="1" s="1"/>
  <c r="AF9" i="1"/>
  <c r="AF10" i="1" s="1"/>
  <c r="AG9" i="1"/>
  <c r="AG10" i="1" s="1"/>
  <c r="AH9" i="1"/>
  <c r="AH10" i="1" s="1"/>
  <c r="AI9" i="1"/>
  <c r="AI10" i="1" s="1"/>
  <c r="AJ9" i="1"/>
  <c r="AJ10" i="1" s="1"/>
  <c r="AK9" i="1"/>
  <c r="AK10" i="1" s="1"/>
  <c r="AL9" i="1"/>
  <c r="AL10" i="1" s="1"/>
  <c r="AD9" i="1"/>
  <c r="AD10" i="1" s="1"/>
  <c r="AD7" i="1"/>
  <c r="AD8" i="1" s="1"/>
  <c r="AE7" i="1"/>
  <c r="AE8" i="1" s="1"/>
  <c r="AF7" i="1"/>
  <c r="AF8" i="1" s="1"/>
  <c r="AG7" i="1"/>
  <c r="AG8" i="1" s="1"/>
  <c r="AH7" i="1"/>
  <c r="AH8" i="1" s="1"/>
  <c r="AI7" i="1"/>
  <c r="AI8" i="1" s="1"/>
  <c r="AK7" i="1"/>
  <c r="AK8" i="1" s="1"/>
  <c r="AL7" i="1"/>
  <c r="AL8" i="1" s="1"/>
  <c r="AJ7" i="1"/>
  <c r="AJ8" i="1" s="1"/>
  <c r="AE3" i="1"/>
  <c r="AF3" i="1"/>
  <c r="AD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C3" i="1"/>
  <c r="AB3" i="1"/>
  <c r="AA3" i="1"/>
  <c r="Z3" i="1"/>
  <c r="Y3" i="1"/>
  <c r="X3" i="1"/>
  <c r="W3" i="1"/>
  <c r="V3" i="1"/>
  <c r="U3" i="1"/>
  <c r="Q3" i="1"/>
  <c r="G3" i="1"/>
  <c r="F3" i="1"/>
  <c r="E3" i="1"/>
  <c r="D3" i="1"/>
  <c r="C3" i="1"/>
  <c r="B3" i="1"/>
  <c r="AM9" i="3" l="1"/>
  <c r="AM10" i="3" s="1"/>
  <c r="F9" i="3"/>
  <c r="E9" i="3"/>
  <c r="W9" i="3"/>
  <c r="V9" i="3"/>
  <c r="M9" i="3"/>
  <c r="D9" i="3"/>
  <c r="L9" i="3"/>
  <c r="AC9" i="3"/>
  <c r="O9" i="3"/>
  <c r="S9" i="3"/>
  <c r="AL9" i="3"/>
  <c r="AL10" i="3" s="1"/>
  <c r="U9" i="3"/>
  <c r="N9" i="3"/>
  <c r="AD9" i="3"/>
  <c r="T9" i="3"/>
  <c r="AG9" i="3"/>
  <c r="H9" i="3"/>
  <c r="Q9" i="3"/>
  <c r="Y9" i="3"/>
  <c r="G9" i="3"/>
  <c r="X9" i="3"/>
  <c r="C9" i="3"/>
  <c r="Z9" i="3"/>
  <c r="J11" i="2"/>
  <c r="J12" i="2" s="1"/>
  <c r="J13" i="2" s="1"/>
  <c r="T11" i="2"/>
  <c r="T12" i="2" s="1"/>
  <c r="T13" i="2" s="1"/>
  <c r="E11" i="2"/>
  <c r="E12" i="2" s="1"/>
  <c r="E13" i="2" s="1"/>
  <c r="AC11" i="2"/>
  <c r="AC12" i="2" s="1"/>
  <c r="AC13" i="2" s="1"/>
  <c r="M11" i="2"/>
  <c r="M12" i="2" s="1"/>
  <c r="M13" i="2" s="1"/>
  <c r="D11" i="2"/>
  <c r="D12" i="2" s="1"/>
  <c r="D13" i="2" s="1"/>
  <c r="AO11" i="2"/>
  <c r="AO12" i="2" s="1"/>
  <c r="AO13" i="2" s="1"/>
  <c r="C11" i="2"/>
  <c r="C12" i="2" s="1"/>
  <c r="C13" i="2" s="1"/>
  <c r="BH11" i="1"/>
  <c r="BH12" i="1" s="1"/>
  <c r="BH13" i="1" s="1"/>
  <c r="BF11" i="1"/>
  <c r="BG11" i="1"/>
  <c r="BG12" i="1" s="1"/>
  <c r="BG13" i="1" s="1"/>
  <c r="BE11" i="1"/>
  <c r="BE12" i="1" s="1"/>
  <c r="BE13" i="1" s="1"/>
  <c r="BB11" i="1"/>
  <c r="BB12" i="1" s="1"/>
  <c r="BB13" i="1" s="1"/>
  <c r="BC11" i="1"/>
  <c r="BC12" i="1" s="1"/>
  <c r="BC13" i="1" s="1"/>
  <c r="BA11" i="1"/>
  <c r="BA12" i="1" s="1"/>
  <c r="BA13" i="1" s="1"/>
  <c r="BD11" i="1"/>
  <c r="BD12" i="1" s="1"/>
  <c r="BD13" i="1" s="1"/>
  <c r="AX11" i="1"/>
  <c r="AX12" i="1" s="1"/>
  <c r="AX13" i="1" s="1"/>
  <c r="AY11" i="1"/>
  <c r="W11" i="1"/>
  <c r="W12" i="1" s="1"/>
  <c r="W13" i="1" s="1"/>
  <c r="V11" i="1"/>
  <c r="V12" i="1" s="1"/>
  <c r="V13" i="1" s="1"/>
  <c r="U11" i="1"/>
  <c r="U12" i="1" s="1"/>
  <c r="U13" i="1" s="1"/>
  <c r="S11" i="1"/>
  <c r="S12" i="1" s="1"/>
  <c r="S13" i="1" s="1"/>
  <c r="R11" i="1"/>
  <c r="R12" i="1" s="1"/>
  <c r="R13" i="1" s="1"/>
  <c r="T11" i="1"/>
  <c r="T12" i="1" s="1"/>
  <c r="T13" i="1" s="1"/>
  <c r="C11" i="1"/>
  <c r="C12" i="1" s="1"/>
  <c r="C13" i="1" s="1"/>
  <c r="AP11" i="1"/>
  <c r="AP12" i="1" s="1"/>
  <c r="AP13" i="1" s="1"/>
  <c r="Q11" i="1"/>
  <c r="Q12" i="1" s="1"/>
  <c r="Q13" i="1" s="1"/>
  <c r="AT11" i="1"/>
  <c r="AT12" i="1" s="1"/>
  <c r="AT13" i="1" s="1"/>
  <c r="AU11" i="1"/>
  <c r="AU12" i="1" s="1"/>
  <c r="AU13" i="1" s="1"/>
  <c r="AS11" i="1"/>
  <c r="AS12" i="1" s="1"/>
  <c r="AS13" i="1" s="1"/>
  <c r="AV11" i="1"/>
  <c r="AV12" i="1" s="1"/>
  <c r="AV13" i="1" s="1"/>
  <c r="AW11" i="1"/>
  <c r="AQ11" i="1"/>
  <c r="AQ12" i="1" s="1"/>
  <c r="AQ13" i="1" s="1"/>
  <c r="AO11" i="1"/>
  <c r="AO12" i="1" s="1"/>
  <c r="AO13" i="1" s="1"/>
  <c r="AN11" i="1"/>
  <c r="AN12" i="1" s="1"/>
  <c r="AN13" i="1" s="1"/>
  <c r="AR11" i="1"/>
  <c r="AR12" i="1" s="1"/>
  <c r="AR13" i="1" s="1"/>
  <c r="AM11" i="1"/>
  <c r="AM12" i="1" s="1"/>
  <c r="AM13" i="1" s="1"/>
  <c r="Y11" i="1"/>
  <c r="Y12" i="1" s="1"/>
  <c r="Y13" i="1" s="1"/>
  <c r="X11" i="1"/>
  <c r="L11" i="1"/>
  <c r="L12" i="1" s="1"/>
  <c r="L13" i="1" s="1"/>
  <c r="O11" i="1"/>
  <c r="O12" i="1" s="1"/>
  <c r="O13" i="1" s="1"/>
  <c r="N11" i="1"/>
  <c r="N12" i="1" s="1"/>
  <c r="N13" i="1" s="1"/>
  <c r="P11" i="1"/>
  <c r="P12" i="1" s="1"/>
  <c r="P13" i="1" s="1"/>
  <c r="M11" i="1"/>
  <c r="M12" i="1" s="1"/>
  <c r="M13" i="1" s="1"/>
  <c r="K11" i="1"/>
  <c r="K12" i="1" s="1"/>
  <c r="K13" i="1" s="1"/>
  <c r="J11" i="1"/>
  <c r="J12" i="1" s="1"/>
  <c r="J13" i="1" s="1"/>
  <c r="H11" i="1"/>
  <c r="H12" i="1" s="1"/>
  <c r="H13" i="1" s="1"/>
  <c r="B11" i="1"/>
  <c r="B12" i="1" s="1"/>
  <c r="B13" i="1" s="1"/>
  <c r="AA11" i="1"/>
  <c r="AA12" i="1" s="1"/>
  <c r="AA13" i="1" s="1"/>
  <c r="F11" i="1"/>
  <c r="F12" i="1" s="1"/>
  <c r="F13" i="1" s="1"/>
  <c r="AC11" i="1"/>
  <c r="AC12" i="1" s="1"/>
  <c r="AC13" i="1" s="1"/>
  <c r="AB11" i="1"/>
  <c r="AB12" i="1" s="1"/>
  <c r="AB13" i="1" s="1"/>
  <c r="Z11" i="1"/>
  <c r="Z12" i="1" s="1"/>
  <c r="Z13" i="1" s="1"/>
  <c r="I11" i="1"/>
  <c r="I12" i="1" s="1"/>
  <c r="I13" i="1" s="1"/>
  <c r="G11" i="1"/>
  <c r="G12" i="1" s="1"/>
  <c r="G13" i="1" s="1"/>
  <c r="E11" i="1"/>
  <c r="D11" i="1"/>
  <c r="D12" i="1" s="1"/>
  <c r="D13" i="1" s="1"/>
  <c r="AJ11" i="1"/>
  <c r="AJ12" i="1" s="1"/>
  <c r="AJ13" i="1" s="1"/>
  <c r="AI11" i="1"/>
  <c r="AI12" i="1" s="1"/>
  <c r="AI13" i="1" s="1"/>
  <c r="AH11" i="1"/>
  <c r="AH12" i="1" s="1"/>
  <c r="AH13" i="1" s="1"/>
  <c r="AL11" i="1"/>
  <c r="AL12" i="1" s="1"/>
  <c r="AL13" i="1" s="1"/>
  <c r="AG11" i="1"/>
  <c r="AG12" i="1" s="1"/>
  <c r="AG13" i="1" s="1"/>
  <c r="AK11" i="1"/>
  <c r="AK12" i="1" s="1"/>
  <c r="AK13" i="1" s="1"/>
  <c r="AD11" i="1"/>
  <c r="AD12" i="1" s="1"/>
  <c r="AD13" i="1" s="1"/>
  <c r="AF11" i="1"/>
  <c r="AF12" i="1" s="1"/>
  <c r="AF13" i="1" s="1"/>
  <c r="AE11" i="1"/>
  <c r="AE12" i="1" s="1"/>
  <c r="AE13" i="1" s="1"/>
  <c r="BF12" i="1" l="1"/>
  <c r="BF13" i="1" s="1"/>
  <c r="AY12" i="1"/>
  <c r="AY13" i="1" s="1"/>
  <c r="X12" i="1"/>
  <c r="X13" i="1" s="1"/>
  <c r="AW12" i="1"/>
  <c r="AW13" i="1" s="1"/>
  <c r="E12" i="1"/>
  <c r="E13" i="1" s="1"/>
</calcChain>
</file>

<file path=xl/sharedStrings.xml><?xml version="1.0" encoding="utf-8"?>
<sst xmlns="http://schemas.openxmlformats.org/spreadsheetml/2006/main" count="1891" uniqueCount="1020">
  <si>
    <t>countries</t>
  </si>
  <si>
    <t>netherlands</t>
  </si>
  <si>
    <t>england</t>
  </si>
  <si>
    <t>germany</t>
  </si>
  <si>
    <t>spain</t>
  </si>
  <si>
    <t>switzerland</t>
  </si>
  <si>
    <t>italy</t>
  </si>
  <si>
    <t>france</t>
  </si>
  <si>
    <t>region</t>
  </si>
  <si>
    <t>noord</t>
  </si>
  <si>
    <t>oost</t>
  </si>
  <si>
    <t>noord-holland</t>
  </si>
  <si>
    <t>middelland</t>
  </si>
  <si>
    <t>zuid</t>
  </si>
  <si>
    <t>zuid-holland</t>
  </si>
  <si>
    <t>greater-london</t>
  </si>
  <si>
    <t>north-west</t>
  </si>
  <si>
    <t>south-east</t>
  </si>
  <si>
    <t>west-midlands</t>
  </si>
  <si>
    <t>north-east</t>
  </si>
  <si>
    <t>yorkshire</t>
  </si>
  <si>
    <t>east-midlands</t>
  </si>
  <si>
    <t>south-west</t>
  </si>
  <si>
    <t>east-england</t>
  </si>
  <si>
    <t>bayern</t>
  </si>
  <si>
    <t>sudwesten</t>
  </si>
  <si>
    <t>sur de españa</t>
  </si>
  <si>
    <t>españa central</t>
  </si>
  <si>
    <t>noreste de españa</t>
  </si>
  <si>
    <t>noroeste de españa</t>
  </si>
  <si>
    <t>nor de españa</t>
  </si>
  <si>
    <t>islas</t>
  </si>
  <si>
    <t>westschweiz</t>
  </si>
  <si>
    <t>nordwestschweiz</t>
  </si>
  <si>
    <t>nordostschweiz</t>
  </si>
  <si>
    <t>ostschweiz</t>
  </si>
  <si>
    <t>innerschweiz</t>
  </si>
  <si>
    <t>bern</t>
  </si>
  <si>
    <t>ticinovalais</t>
  </si>
  <si>
    <t>nordovest italia</t>
  </si>
  <si>
    <t>nordest italia</t>
  </si>
  <si>
    <t>italia centrale</t>
  </si>
  <si>
    <t>sud italia</t>
  </si>
  <si>
    <t>isole</t>
  </si>
  <si>
    <t>N-O France</t>
  </si>
  <si>
    <t>N-E France</t>
  </si>
  <si>
    <t>centre France</t>
  </si>
  <si>
    <t>S-O France</t>
  </si>
  <si>
    <t>S-E France</t>
  </si>
  <si>
    <t>Îles</t>
  </si>
  <si>
    <t>number of clubs</t>
  </si>
  <si>
    <t>average reputation</t>
  </si>
  <si>
    <t>highest reputation</t>
  </si>
  <si>
    <t>Note: values computed from clubs.js (LEAGUES_DATA + CITY_REGION). Row 3 = COUNTA formula over club list; rows 4-5 = average / max of club reputations (reputations not listed in sheet). Averages rounded to 1 decimal.</t>
  </si>
  <si>
    <t>clubs</t>
  </si>
  <si>
    <t>Heerenveen</t>
  </si>
  <si>
    <t>Twente</t>
  </si>
  <si>
    <t>Ajax</t>
  </si>
  <si>
    <t>Utrecht</t>
  </si>
  <si>
    <t>PSV</t>
  </si>
  <si>
    <t>Feyenoord</t>
  </si>
  <si>
    <t>Arsenal</t>
  </si>
  <si>
    <t>Liverpool</t>
  </si>
  <si>
    <t>Brighton &amp; Hove Albion</t>
  </si>
  <si>
    <t>Aston Villa</t>
  </si>
  <si>
    <t>Newcastle United</t>
  </si>
  <si>
    <t>Leeds United</t>
  </si>
  <si>
    <t>Nottingham Forest</t>
  </si>
  <si>
    <t>AFC Bournemouth</t>
  </si>
  <si>
    <t>Ipswich Town</t>
  </si>
  <si>
    <t>Bayern Munich</t>
  </si>
  <si>
    <t>RB Leipzig</t>
  </si>
  <si>
    <t>Borussia Dortmund</t>
  </si>
  <si>
    <t>Eintracht Frankfurt</t>
  </si>
  <si>
    <t>Werder Bremen</t>
  </si>
  <si>
    <t>Sevilla FC</t>
  </si>
  <si>
    <t>Real Madrid</t>
  </si>
  <si>
    <t>FC Barcelona</t>
  </si>
  <si>
    <t>RC Celta de Vigo</t>
  </si>
  <si>
    <t>Real Sociedad</t>
  </si>
  <si>
    <t>RCD Mallorca</t>
  </si>
  <si>
    <t>Servette</t>
  </si>
  <si>
    <t>FC Basel</t>
  </si>
  <si>
    <t>FC Zürich</t>
  </si>
  <si>
    <t>FC St. Gallen</t>
  </si>
  <si>
    <t>FC Luzern</t>
  </si>
  <si>
    <t>Young Boys</t>
  </si>
  <si>
    <t>FC Lugano</t>
  </si>
  <si>
    <t>Inter</t>
  </si>
  <si>
    <t>FC Bologna</t>
  </si>
  <si>
    <t>AS Roma</t>
  </si>
  <si>
    <t>SSC Napoli</t>
  </si>
  <si>
    <t>Cagliari</t>
  </si>
  <si>
    <t>Stade Rennes</t>
  </si>
  <si>
    <t>RC Lens</t>
  </si>
  <si>
    <t>PSG</t>
  </si>
  <si>
    <t>Olympique Lyon</t>
  </si>
  <si>
    <t>FC Toulouse</t>
  </si>
  <si>
    <t>SC Bastia</t>
  </si>
  <si>
    <t>Groningen</t>
  </si>
  <si>
    <t>NEC</t>
  </si>
  <si>
    <t>AZ</t>
  </si>
  <si>
    <t>Jong Utrecht</t>
  </si>
  <si>
    <t>Willem II</t>
  </si>
  <si>
    <t>Sparta</t>
  </si>
  <si>
    <t>Chelsea</t>
  </si>
  <si>
    <t>Manchester United</t>
  </si>
  <si>
    <t>FC Southampton</t>
  </si>
  <si>
    <t>Coventry City</t>
  </si>
  <si>
    <t>AFC Sunderland</t>
  </si>
  <si>
    <t>Hull City</t>
  </si>
  <si>
    <t>Derby County</t>
  </si>
  <si>
    <t>Swansea City</t>
  </si>
  <si>
    <t>Norwich City</t>
  </si>
  <si>
    <t>FC Augsburg</t>
  </si>
  <si>
    <t>FC Union Berlin</t>
  </si>
  <si>
    <t>Bayer Leverkusen</t>
  </si>
  <si>
    <t>SC Freiburg</t>
  </si>
  <si>
    <t>Hamburger SV</t>
  </si>
  <si>
    <t>Real Betis</t>
  </si>
  <si>
    <t>Atletico Madrid</t>
  </si>
  <si>
    <t>Villarreal CF</t>
  </si>
  <si>
    <t>Deportivo La Coruña</t>
  </si>
  <si>
    <t>Athletic Club</t>
  </si>
  <si>
    <t>UD Las Palmas</t>
  </si>
  <si>
    <t>Lausanne-Sport</t>
  </si>
  <si>
    <t>FC Aarau</t>
  </si>
  <si>
    <t>Grasshoppers</t>
  </si>
  <si>
    <t>FC Vaduz</t>
  </si>
  <si>
    <t>FC Kriens</t>
  </si>
  <si>
    <t>FC Thun</t>
  </si>
  <si>
    <t>FC Sion</t>
  </si>
  <si>
    <t>Juventus</t>
  </si>
  <si>
    <t>Udinese</t>
  </si>
  <si>
    <t>Lazio</t>
  </si>
  <si>
    <t>US Lecce</t>
  </si>
  <si>
    <t>Palermo</t>
  </si>
  <si>
    <t>FC Lorient</t>
  </si>
  <si>
    <t>LOSC Lille</t>
  </si>
  <si>
    <t>Paris FC</t>
  </si>
  <si>
    <t>Marseille</t>
  </si>
  <si>
    <t>Montpellier HSC</t>
  </si>
  <si>
    <t>AS Furiani-Agliani</t>
  </si>
  <si>
    <t>Cambuur</t>
  </si>
  <si>
    <t>Zwolle</t>
  </si>
  <si>
    <t>Telstar</t>
  </si>
  <si>
    <t>Almere City</t>
  </si>
  <si>
    <t>Fortuna</t>
  </si>
  <si>
    <t>Ado Den Haag</t>
  </si>
  <si>
    <t>Tottenham Hotspur</t>
  </si>
  <si>
    <t>Manchester City</t>
  </si>
  <si>
    <t>Portsmouth</t>
  </si>
  <si>
    <t>Wolves</t>
  </si>
  <si>
    <t>Middlesbrough</t>
  </si>
  <si>
    <t>Sheffield United</t>
  </si>
  <si>
    <t>Lincoln City</t>
  </si>
  <si>
    <t>Bristol City</t>
  </si>
  <si>
    <t>Watford</t>
  </si>
  <si>
    <t>1. FC Nürnberg</t>
  </si>
  <si>
    <t>Hertha BSC</t>
  </si>
  <si>
    <t>Borussia Mönchengladbach</t>
  </si>
  <si>
    <t>TSG Hoffenheim</t>
  </si>
  <si>
    <t>VfL Wolfsburg</t>
  </si>
  <si>
    <t>Málaga CF</t>
  </si>
  <si>
    <t>Rayo Vallecano</t>
  </si>
  <si>
    <t>Valencia CF</t>
  </si>
  <si>
    <t>Real Oviedo</t>
  </si>
  <si>
    <t>Deportivo Alavés</t>
  </si>
  <si>
    <t>CD Tenerife</t>
  </si>
  <si>
    <t>FC Yverdon</t>
  </si>
  <si>
    <t>FC Basel U21</t>
  </si>
  <si>
    <t>FC Winterthur</t>
  </si>
  <si>
    <t>FC Rapperswil-Jona</t>
  </si>
  <si>
    <t>SC Cham</t>
  </si>
  <si>
    <t>FC Biel-Bienne</t>
  </si>
  <si>
    <t>FC Bellinzona</t>
  </si>
  <si>
    <t>AC Milan</t>
  </si>
  <si>
    <t>US Sassuolo</t>
  </si>
  <si>
    <t>AC Fiorentina</t>
  </si>
  <si>
    <t>Catanzaro</t>
  </si>
  <si>
    <t>Catania</t>
  </si>
  <si>
    <t>Stade Brest</t>
  </si>
  <si>
    <t>RC Strasbourg</t>
  </si>
  <si>
    <t>Red Star FC</t>
  </si>
  <si>
    <t>AS Monaco</t>
  </si>
  <si>
    <t>Rodez AF</t>
  </si>
  <si>
    <t>FC Borgo</t>
  </si>
  <si>
    <t>Emmen</t>
  </si>
  <si>
    <t>Go Ahead Eagles</t>
  </si>
  <si>
    <t>Jong Ajax</t>
  </si>
  <si>
    <t>GVVV</t>
  </si>
  <si>
    <t>Jong PSV</t>
  </si>
  <si>
    <t>Excelsior</t>
  </si>
  <si>
    <t>Crystal Palace</t>
  </si>
  <si>
    <t>Everton</t>
  </si>
  <si>
    <t>Oxford United</t>
  </si>
  <si>
    <t>Birmingham City</t>
  </si>
  <si>
    <t>Hartlepool United</t>
  </si>
  <si>
    <t>Sheffield Wednesday</t>
  </si>
  <si>
    <t>Leicester City</t>
  </si>
  <si>
    <t>Cardiff City</t>
  </si>
  <si>
    <t>Stevenage</t>
  </si>
  <si>
    <t>SpVgg Greuther Fürth</t>
  </si>
  <si>
    <t>Dynamo Dresden</t>
  </si>
  <si>
    <t>1. FC Köln</t>
  </si>
  <si>
    <t>VfB Stuttgart</t>
  </si>
  <si>
    <t>FC St. Pauli</t>
  </si>
  <si>
    <t>UD Almería</t>
  </si>
  <si>
    <t>Getafe CF</t>
  </si>
  <si>
    <t>RCD Espanyol</t>
  </si>
  <si>
    <t>Burgos CF</t>
  </si>
  <si>
    <t>CA Osasuna</t>
  </si>
  <si>
    <t>UD Ibiza</t>
  </si>
  <si>
    <t>Stade Lausanne-Ouchy</t>
  </si>
  <si>
    <t>FC Baden 1897</t>
  </si>
  <si>
    <t>FC Schaffhausen</t>
  </si>
  <si>
    <t>FC Wil</t>
  </si>
  <si>
    <t>FC Luzern U21</t>
  </si>
  <si>
    <t>Young Boys U21</t>
  </si>
  <si>
    <t>FC Collina d'Oro</t>
  </si>
  <si>
    <t>Atalanta</t>
  </si>
  <si>
    <t>Parma Calcio</t>
  </si>
  <si>
    <t>Frosinone</t>
  </si>
  <si>
    <t>US Avellino</t>
  </si>
  <si>
    <t>SEF Torres 1903</t>
  </si>
  <si>
    <t>Angers SCO</t>
  </si>
  <si>
    <t>AJ Auxerre</t>
  </si>
  <si>
    <t>US Orléans</t>
  </si>
  <si>
    <t>OGC Nice</t>
  </si>
  <si>
    <t>Pau FC</t>
  </si>
  <si>
    <t>ACV</t>
  </si>
  <si>
    <t>Heracles</t>
  </si>
  <si>
    <t>Jong AZ</t>
  </si>
  <si>
    <t>IJsselmeervogels</t>
  </si>
  <si>
    <t>NAC Breda</t>
  </si>
  <si>
    <t>Dordrecht</t>
  </si>
  <si>
    <t>Brentford</t>
  </si>
  <si>
    <t>FC Burnley</t>
  </si>
  <si>
    <t>Wycombe Wanderers</t>
  </si>
  <si>
    <t>Stoke City</t>
  </si>
  <si>
    <t>Gateshead</t>
  </si>
  <si>
    <t>Bradford City</t>
  </si>
  <si>
    <t>Mansfield Town</t>
  </si>
  <si>
    <t>Plymouth Argyle</t>
  </si>
  <si>
    <t>Luton Town</t>
  </si>
  <si>
    <t>FC Ingolstadt 04</t>
  </si>
  <si>
    <t>1. FC Magdeburg</t>
  </si>
  <si>
    <t>FC Schalke 04</t>
  </si>
  <si>
    <t>1. FSV Mainz 05</t>
  </si>
  <si>
    <t>Hannover 96</t>
  </si>
  <si>
    <t>Córdoba CF</t>
  </si>
  <si>
    <t>Albacete Balompié</t>
  </si>
  <si>
    <t>Elche CF</t>
  </si>
  <si>
    <t>Sporting Gijón</t>
  </si>
  <si>
    <t>Racing Santander</t>
  </si>
  <si>
    <t>UD Tamaraceite</t>
  </si>
  <si>
    <t>Xamax</t>
  </si>
  <si>
    <t>SV Muttenz</t>
  </si>
  <si>
    <t>FC Zürich U21</t>
  </si>
  <si>
    <t>SC Brühl SG</t>
  </si>
  <si>
    <t>FC Tuggen</t>
  </si>
  <si>
    <t>FC Breitenrain</t>
  </si>
  <si>
    <t>FC Paradiso</t>
  </si>
  <si>
    <t>Como 1907</t>
  </si>
  <si>
    <t>Venezia FC</t>
  </si>
  <si>
    <t>Pisa SC</t>
  </si>
  <si>
    <t>Benevento</t>
  </si>
  <si>
    <t>Le Havre AC</t>
  </si>
  <si>
    <t>ESTAC Troyes</t>
  </si>
  <si>
    <t>FC Versailles 78</t>
  </si>
  <si>
    <t>Saint-Étienne</t>
  </si>
  <si>
    <t>Girondins Bordeaux</t>
  </si>
  <si>
    <t>Harkemase Boys</t>
  </si>
  <si>
    <t>De Graafschap</t>
  </si>
  <si>
    <t>Volendam</t>
  </si>
  <si>
    <t>Jong Almere</t>
  </si>
  <si>
    <t>Roda JC</t>
  </si>
  <si>
    <t>Barendrecht</t>
  </si>
  <si>
    <t>Fulham</t>
  </si>
  <si>
    <t>Wrexham</t>
  </si>
  <si>
    <t>FC Reading</t>
  </si>
  <si>
    <t>West Bromwich Albion</t>
  </si>
  <si>
    <t>Huddersfield Town</t>
  </si>
  <si>
    <t>Notts County</t>
  </si>
  <si>
    <t>Exeter City</t>
  </si>
  <si>
    <t>Peterborough United</t>
  </si>
  <si>
    <t>SSV Jahn Regensburg</t>
  </si>
  <si>
    <t>Energie Cottbus</t>
  </si>
  <si>
    <t>SC Paderborn 07</t>
  </si>
  <si>
    <t>SV Elversberg</t>
  </si>
  <si>
    <t>Holstein Kiel</t>
  </si>
  <si>
    <t>AD Ceuta</t>
  </si>
  <si>
    <t>CD Leganés</t>
  </si>
  <si>
    <t>Levante UD</t>
  </si>
  <si>
    <t>Real Valladolid</t>
  </si>
  <si>
    <t>SD Eibar</t>
  </si>
  <si>
    <t>Etoile Carouge</t>
  </si>
  <si>
    <t>FC Concordia BS</t>
  </si>
  <si>
    <t>FC Kreuzlingen</t>
  </si>
  <si>
    <t>USV Eschen/Mauren</t>
  </si>
  <si>
    <t>Zug 94</t>
  </si>
  <si>
    <t>FC Prishtina BE</t>
  </si>
  <si>
    <t>FC Naters</t>
  </si>
  <si>
    <t>FC Torino</t>
  </si>
  <si>
    <t>Hellas Verona</t>
  </si>
  <si>
    <t>Carrarese</t>
  </si>
  <si>
    <t>Juve Stabia</t>
  </si>
  <si>
    <t>Le Mans FC</t>
  </si>
  <si>
    <t>Stade Reims</t>
  </si>
  <si>
    <t>FC Fleury 91</t>
  </si>
  <si>
    <t>Clermont Foot 63</t>
  </si>
  <si>
    <t>Aviron Bayonnais</t>
  </si>
  <si>
    <t>Hoogeveen</t>
  </si>
  <si>
    <t>Vitesse</t>
  </si>
  <si>
    <t>Amsterdamsche FC</t>
  </si>
  <si>
    <t>Spakenburg</t>
  </si>
  <si>
    <t>Venlo</t>
  </si>
  <si>
    <t>Excelsior Maassluis</t>
  </si>
  <si>
    <t>West Ham United</t>
  </si>
  <si>
    <t>Preston North End</t>
  </si>
  <si>
    <t>Milton Keynes Dons</t>
  </si>
  <si>
    <t>Burton Albion</t>
  </si>
  <si>
    <t>Doncaster Rovers</t>
  </si>
  <si>
    <t>Northampton Town</t>
  </si>
  <si>
    <t>Swindon Town</t>
  </si>
  <si>
    <t>Cambridge United</t>
  </si>
  <si>
    <t>Würzburger Kickers</t>
  </si>
  <si>
    <t>FC Erzgebirge Aue</t>
  </si>
  <si>
    <t>VfL Bochum</t>
  </si>
  <si>
    <t>1. FC Heidenheim</t>
  </si>
  <si>
    <t>Eintracht Braunschweig</t>
  </si>
  <si>
    <t>Granada CF</t>
  </si>
  <si>
    <t>Mérida AD</t>
  </si>
  <si>
    <t>Girona FC</t>
  </si>
  <si>
    <t>Celta Vigo B</t>
  </si>
  <si>
    <t>Real Sociedad B</t>
  </si>
  <si>
    <t>Stade Nyonnais</t>
  </si>
  <si>
    <t>FC Solothurn</t>
  </si>
  <si>
    <t>YF Juventus</t>
  </si>
  <si>
    <t>FC Gossau</t>
  </si>
  <si>
    <t>FC Schötz</t>
  </si>
  <si>
    <t>FC Langenthal</t>
  </si>
  <si>
    <t>FC Mendrisio</t>
  </si>
  <si>
    <t>Genua CFC</t>
  </si>
  <si>
    <t>Modena FC</t>
  </si>
  <si>
    <t>FC Empoli</t>
  </si>
  <si>
    <t>Campobasso</t>
  </si>
  <si>
    <t>FC Nantes</t>
  </si>
  <si>
    <t>FC Metz</t>
  </si>
  <si>
    <t>Paris 13 Atletico</t>
  </si>
  <si>
    <t>Grenoble Foot 38</t>
  </si>
  <si>
    <t>Angoulême CFC</t>
  </si>
  <si>
    <t>Hardenberg</t>
  </si>
  <si>
    <t>Koninklijke HFC</t>
  </si>
  <si>
    <t>DOVO</t>
  </si>
  <si>
    <t>RKC Waalwijk</t>
  </si>
  <si>
    <t>Jong Sparta</t>
  </si>
  <si>
    <t>Millwall</t>
  </si>
  <si>
    <t>Blackburn Rovers</t>
  </si>
  <si>
    <t>Gillingham</t>
  </si>
  <si>
    <t>Port Vale</t>
  </si>
  <si>
    <t>Barnsley</t>
  </si>
  <si>
    <t>Chesterfield</t>
  </si>
  <si>
    <t>Bristol Rovers</t>
  </si>
  <si>
    <t>Colchester United</t>
  </si>
  <si>
    <t>TSV 1860 München</t>
  </si>
  <si>
    <t>Lokomotive Leipzig</t>
  </si>
  <si>
    <t>Arminia Bielefeld</t>
  </si>
  <si>
    <t>SV Darmstadt 98</t>
  </si>
  <si>
    <t>VfL Osnabrück</t>
  </si>
  <si>
    <t>Cádiz CF</t>
  </si>
  <si>
    <t>Atlético Madrileño</t>
  </si>
  <si>
    <t>CD Castellón</t>
  </si>
  <si>
    <t>Cultural Leonesa</t>
  </si>
  <si>
    <t>Barakaldo CF</t>
  </si>
  <si>
    <t>FC Bavois</t>
  </si>
  <si>
    <t>FC Wohlen</t>
  </si>
  <si>
    <t>FC Wettswil-Bonstetten</t>
  </si>
  <si>
    <t>FC Widnau</t>
  </si>
  <si>
    <t>SC Buochs</t>
  </si>
  <si>
    <t>FC Münsingen</t>
  </si>
  <si>
    <t>FC Lugano 2</t>
  </si>
  <si>
    <t>AC Monza</t>
  </si>
  <si>
    <t>Calcio Padova</t>
  </si>
  <si>
    <t>Arezzo</t>
  </si>
  <si>
    <t>SSC Bari</t>
  </si>
  <si>
    <t>Stade Lavallois</t>
  </si>
  <si>
    <t>USL Dunkerque</t>
  </si>
  <si>
    <t>Bourges FC</t>
  </si>
  <si>
    <t>FC Annecy</t>
  </si>
  <si>
    <t>Nîmes Olympique</t>
  </si>
  <si>
    <t>De Treffers</t>
  </si>
  <si>
    <t>RKAV Volendam</t>
  </si>
  <si>
    <t>Eemdijk</t>
  </si>
  <si>
    <t>MVV</t>
  </si>
  <si>
    <t>Katwijk</t>
  </si>
  <si>
    <t>Queens Park Rangers</t>
  </si>
  <si>
    <t>Bolton Wanderers</t>
  </si>
  <si>
    <t>Crawley Town</t>
  </si>
  <si>
    <t>Walsall</t>
  </si>
  <si>
    <t>Rotherham United</t>
  </si>
  <si>
    <t>Boston United</t>
  </si>
  <si>
    <t>Cheltenham Town</t>
  </si>
  <si>
    <t>Boreham Wood</t>
  </si>
  <si>
    <t>SpVgg Unterhaching</t>
  </si>
  <si>
    <t>Carl Zeiss Jena</t>
  </si>
  <si>
    <t>Fortuna Düsseldorf</t>
  </si>
  <si>
    <t>1. FC Kaiserslautern</t>
  </si>
  <si>
    <t>Hansa Rostock</t>
  </si>
  <si>
    <t>FC Cartagena</t>
  </si>
  <si>
    <t>Real Madrid Castilla</t>
  </si>
  <si>
    <t>FC Andorra</t>
  </si>
  <si>
    <t>CD Mirandés</t>
  </si>
  <si>
    <t>Arenas Club</t>
  </si>
  <si>
    <t>FC Bulle</t>
  </si>
  <si>
    <t>FC Black Stars</t>
  </si>
  <si>
    <t>FC Kosova ZH</t>
  </si>
  <si>
    <t>FC St. Gallen U21</t>
  </si>
  <si>
    <t>FC Freienbach</t>
  </si>
  <si>
    <t>FC Muri-Gümligen</t>
  </si>
  <si>
    <t>FC Locarno</t>
  </si>
  <si>
    <t>US Cremonese</t>
  </si>
  <si>
    <t>Cesena</t>
  </si>
  <si>
    <t>Ascoli</t>
  </si>
  <si>
    <t>US Salernitana</t>
  </si>
  <si>
    <t>EA Guingamp</t>
  </si>
  <si>
    <t>AS Nancy</t>
  </si>
  <si>
    <t>Saint-Pryvé Saint-Hilaire</t>
  </si>
  <si>
    <t>Villefranche-Beaujolais</t>
  </si>
  <si>
    <t>FC Chauray</t>
  </si>
  <si>
    <t>Rohda Raalte</t>
  </si>
  <si>
    <t>Huizen</t>
  </si>
  <si>
    <t>USV Hercules</t>
  </si>
  <si>
    <t>Den Bosch</t>
  </si>
  <si>
    <t>Quick Boys</t>
  </si>
  <si>
    <t>Charlton Athletic</t>
  </si>
  <si>
    <t>Stockport County</t>
  </si>
  <si>
    <t>Woking</t>
  </si>
  <si>
    <t>Shrewsbury Town</t>
  </si>
  <si>
    <t>Grimsby Town</t>
  </si>
  <si>
    <t>Brackley Town</t>
  </si>
  <si>
    <t>Newport County</t>
  </si>
  <si>
    <t>Southend United</t>
  </si>
  <si>
    <t>FV Illertissen</t>
  </si>
  <si>
    <t>FSV Zwickau</t>
  </si>
  <si>
    <t>Preußen Münster</t>
  </si>
  <si>
    <t>Karlsruher SC</t>
  </si>
  <si>
    <t>TSV Havelse</t>
  </si>
  <si>
    <t>Antequera CF</t>
  </si>
  <si>
    <t>AD Alcorcón</t>
  </si>
  <si>
    <t>CD Eldense</t>
  </si>
  <si>
    <t>Zamora CF</t>
  </si>
  <si>
    <t>Gimnástica de Torrelavega</t>
  </si>
  <si>
    <t>FC Grand-Saconnex</t>
  </si>
  <si>
    <t>FC Winterthur U21</t>
  </si>
  <si>
    <t>AC Taverne</t>
  </si>
  <si>
    <t>Mantova 1911</t>
  </si>
  <si>
    <t>FC Südtirol</t>
  </si>
  <si>
    <t>Pianese</t>
  </si>
  <si>
    <t>Cosenza</t>
  </si>
  <si>
    <t>SM Caen</t>
  </si>
  <si>
    <t>US Boulogne</t>
  </si>
  <si>
    <t>US Lusitanos</t>
  </si>
  <si>
    <t>SC Aubagne Air Bel</t>
  </si>
  <si>
    <t>Stade Poitevin</t>
  </si>
  <si>
    <t>Scherpenzeel</t>
  </si>
  <si>
    <t>Sportlust '46</t>
  </si>
  <si>
    <t>Helmond Sport</t>
  </si>
  <si>
    <t>Rijnburgse Boys</t>
  </si>
  <si>
    <t>AFC Wimbledon</t>
  </si>
  <si>
    <t>Blackpool</t>
  </si>
  <si>
    <t>Eastleigh</t>
  </si>
  <si>
    <t>Tamworth</t>
  </si>
  <si>
    <t>York City</t>
  </si>
  <si>
    <t>Forest Green Rovers</t>
  </si>
  <si>
    <t>Braintree Town</t>
  </si>
  <si>
    <t>DJK Vilzing</t>
  </si>
  <si>
    <t>Hallescher FC</t>
  </si>
  <si>
    <t>Rot-Weiss Essen</t>
  </si>
  <si>
    <t>SV Wehen Wiesbaden</t>
  </si>
  <si>
    <t>SV Meppen</t>
  </si>
  <si>
    <t>Algeciras CF</t>
  </si>
  <si>
    <t>Rayo Majadahonda</t>
  </si>
  <si>
    <t>CE Sabadell</t>
  </si>
  <si>
    <t>SD Ponferradina</t>
  </si>
  <si>
    <t>Bilbao Athletic</t>
  </si>
  <si>
    <t>FC Amical Saint-Prex</t>
  </si>
  <si>
    <t>Grasshoppers U21</t>
  </si>
  <si>
    <t>FC Sion U21</t>
  </si>
  <si>
    <t>Sampdoria</t>
  </si>
  <si>
    <t>LR Vicenza</t>
  </si>
  <si>
    <t>Pineto</t>
  </si>
  <si>
    <t>Casertana</t>
  </si>
  <si>
    <t>US Concarneau</t>
  </si>
  <si>
    <t>Sochaux-Montbéliard</t>
  </si>
  <si>
    <t>US Créteil Foot</t>
  </si>
  <si>
    <t>Le Puy-en-Velay FC</t>
  </si>
  <si>
    <t>Sparta Nijkerk</t>
  </si>
  <si>
    <t>Urk</t>
  </si>
  <si>
    <t>TOP Oss</t>
  </si>
  <si>
    <t>Zwaluwen</t>
  </si>
  <si>
    <t>Leyton Orient</t>
  </si>
  <si>
    <t>Wigan Athletic</t>
  </si>
  <si>
    <t>Aldershot Town</t>
  </si>
  <si>
    <t>Solihull Moors</t>
  </si>
  <si>
    <t>Harrogate Town</t>
  </si>
  <si>
    <t>Yeovil Town</t>
  </si>
  <si>
    <t>Bayern Munich II</t>
  </si>
  <si>
    <t>FC Rot-Weiß Erfurt</t>
  </si>
  <si>
    <t>MSV Duisburg</t>
  </si>
  <si>
    <t>SV Waldhof Mannheim</t>
  </si>
  <si>
    <t>SV Drochtersen/Assel</t>
  </si>
  <si>
    <t>Real Murcia CF</t>
  </si>
  <si>
    <t>CP Cacereño</t>
  </si>
  <si>
    <t>Real Zaragoza</t>
  </si>
  <si>
    <t>Pontevedra CF</t>
  </si>
  <si>
    <t>Real Unión</t>
  </si>
  <si>
    <t>Vevey-Sports</t>
  </si>
  <si>
    <t>FC Thalwil</t>
  </si>
  <si>
    <t>Virtus Entella</t>
  </si>
  <si>
    <t>Reggiana</t>
  </si>
  <si>
    <t>AS Gubbio</t>
  </si>
  <si>
    <t>FC Crotone</t>
  </si>
  <si>
    <t>FC Rouen</t>
  </si>
  <si>
    <t>Dijon FCO</t>
  </si>
  <si>
    <t>FC Montlouis</t>
  </si>
  <si>
    <t>Football Bourg-en-Bresse Péronnas</t>
  </si>
  <si>
    <t>Staphorst</t>
  </si>
  <si>
    <t>Eindhoven</t>
  </si>
  <si>
    <t>SVV Scheveningen</t>
  </si>
  <si>
    <t>Bromley</t>
  </si>
  <si>
    <t>Salford City</t>
  </si>
  <si>
    <t>Worthing</t>
  </si>
  <si>
    <t>Scunthorpe United</t>
  </si>
  <si>
    <t>1. FC Schweinfurt 05</t>
  </si>
  <si>
    <t>VSG Altglienicke</t>
  </si>
  <si>
    <t>SC Verl</t>
  </si>
  <si>
    <t>VfB Stuttgart II</t>
  </si>
  <si>
    <t>VfB Oldenburg</t>
  </si>
  <si>
    <t>UD Torremolinos</t>
  </si>
  <si>
    <t>CD Extremadura</t>
  </si>
  <si>
    <t>SD Huesca</t>
  </si>
  <si>
    <t>Uniónistas CF</t>
  </si>
  <si>
    <t>UD Logroñés</t>
  </si>
  <si>
    <t>Lausanne-Sport U21</t>
  </si>
  <si>
    <t>FC Dietikon</t>
  </si>
  <si>
    <t>Spezia Calcio</t>
  </si>
  <si>
    <t>Ravenna</t>
  </si>
  <si>
    <t>Vis Pesaro</t>
  </si>
  <si>
    <t>Casarano</t>
  </si>
  <si>
    <t>Quevilly-Rouen Métropole</t>
  </si>
  <si>
    <t>Amiens SC</t>
  </si>
  <si>
    <t>Blois Foot 41</t>
  </si>
  <si>
    <t>AS Cannes</t>
  </si>
  <si>
    <t>TEC</t>
  </si>
  <si>
    <t>Hoek</t>
  </si>
  <si>
    <t>VV SteDoCo</t>
  </si>
  <si>
    <t>Barnet</t>
  </si>
  <si>
    <t>Oldham Athletic</t>
  </si>
  <si>
    <t>Halifax Town</t>
  </si>
  <si>
    <t>TSV Aubstadt</t>
  </si>
  <si>
    <t>Chemnitzer FC</t>
  </si>
  <si>
    <t>Alemannia Aachen</t>
  </si>
  <si>
    <t>1. FC Saarbrücken</t>
  </si>
  <si>
    <t>SSV Jeddeloh II</t>
  </si>
  <si>
    <t>Águilas FC</t>
  </si>
  <si>
    <t>CD Coria</t>
  </si>
  <si>
    <t>Villarreal B</t>
  </si>
  <si>
    <t>CD Lugo</t>
  </si>
  <si>
    <t>Rayo Cantabria</t>
  </si>
  <si>
    <t>CS Chênois</t>
  </si>
  <si>
    <t>FC Ellikon Marthalen</t>
  </si>
  <si>
    <t>Union Brescia</t>
  </si>
  <si>
    <t>AC Trento</t>
  </si>
  <si>
    <t>Livorno</t>
  </si>
  <si>
    <t>Monopoli</t>
  </si>
  <si>
    <t>VFC La Roche</t>
  </si>
  <si>
    <t>FC Valenciennes</t>
  </si>
  <si>
    <t>FC 92 Bobigny</t>
  </si>
  <si>
    <t>GFA Rumilly Vallières</t>
  </si>
  <si>
    <t>Kozakken Boys</t>
  </si>
  <si>
    <t>Wealdstone</t>
  </si>
  <si>
    <t>Crewe Alexandra</t>
  </si>
  <si>
    <t>VfB Eichstätt</t>
  </si>
  <si>
    <t>BFC Preussen</t>
  </si>
  <si>
    <t>Viktoria Köln</t>
  </si>
  <si>
    <t>TSG Hoffenheim II</t>
  </si>
  <si>
    <t>Phönix Lübeck</t>
  </si>
  <si>
    <t>Real Jaén CF</t>
  </si>
  <si>
    <t>CD Don Benito</t>
  </si>
  <si>
    <t>CE Europa</t>
  </si>
  <si>
    <t>Racing de Ferrol</t>
  </si>
  <si>
    <t>CD Basconia</t>
  </si>
  <si>
    <t>FC Coffrane</t>
  </si>
  <si>
    <t>AC Renate</t>
  </si>
  <si>
    <t>AS Cittadella</t>
  </si>
  <si>
    <t>AC Perugia</t>
  </si>
  <si>
    <t>Team Altamura</t>
  </si>
  <si>
    <t>US Saint-Malo</t>
  </si>
  <si>
    <t xml:space="preserve"> US Thionville Lusitanos </t>
  </si>
  <si>
    <t>Hyères 83 FC</t>
  </si>
  <si>
    <t>Kloetinge</t>
  </si>
  <si>
    <t>Sutton United</t>
  </si>
  <si>
    <t>Fleetwood Town</t>
  </si>
  <si>
    <t>Wacker Burghausen</t>
  </si>
  <si>
    <t>Chemie Leipzig</t>
  </si>
  <si>
    <t>Fortuna Köln</t>
  </si>
  <si>
    <t>SG Sonnenhof Großaspach</t>
  </si>
  <si>
    <t>Bremer SV</t>
  </si>
  <si>
    <t>FC Sevilla Atlético</t>
  </si>
  <si>
    <t>CD Guadalajara</t>
  </si>
  <si>
    <t>Hércules CF</t>
  </si>
  <si>
    <t>Real Avilés CF</t>
  </si>
  <si>
    <t>Deportivo Alavés B</t>
  </si>
  <si>
    <t>La Chaux-de-Fonds</t>
  </si>
  <si>
    <t>Lecco</t>
  </si>
  <si>
    <t>Arzignano</t>
  </si>
  <si>
    <t>Guidonia</t>
  </si>
  <si>
    <t>Barletta</t>
  </si>
  <si>
    <t>Les Herbiers</t>
  </si>
  <si>
    <t>FR Haguenau</t>
  </si>
  <si>
    <t>Andrézieux-Bouthéon FC</t>
  </si>
  <si>
    <t>RKSV Groene Ster</t>
  </si>
  <si>
    <t>Accrington Stanley</t>
  </si>
  <si>
    <t>TSV Buchbach</t>
  </si>
  <si>
    <t>SV Babelsberg 03</t>
  </si>
  <si>
    <t>Rot-Weiß Oberhausen</t>
  </si>
  <si>
    <t>SGV Freiberg</t>
  </si>
  <si>
    <t>Kickers Emden</t>
  </si>
  <si>
    <t>Recreativo Huelva</t>
  </si>
  <si>
    <t>Atlético Albacete</t>
  </si>
  <si>
    <t>CD Teruel</t>
  </si>
  <si>
    <t>Deportivo Fabril</t>
  </si>
  <si>
    <t>Sestao River</t>
  </si>
  <si>
    <t>Lancy FC</t>
  </si>
  <si>
    <t>Lumezzane</t>
  </si>
  <si>
    <t>Dolomiti Bellunesi</t>
  </si>
  <si>
    <t>US Sambenedettese</t>
  </si>
  <si>
    <t>Cavese</t>
  </si>
  <si>
    <t>Dinan Léhon</t>
  </si>
  <si>
    <t>Entente Feignies Aulnoye</t>
  </si>
  <si>
    <t>Istres FC</t>
  </si>
  <si>
    <t>Tranmere Rovers</t>
  </si>
  <si>
    <t>FC Memmingen</t>
  </si>
  <si>
    <t>Greifswalder FC</t>
  </si>
  <si>
    <t>FC Schalke 04 II</t>
  </si>
  <si>
    <t>FSV Frankfurt</t>
  </si>
  <si>
    <t>Hamburger SV II</t>
  </si>
  <si>
    <t>Deportivo Xerez</t>
  </si>
  <si>
    <t>UE Sant Andreu</t>
  </si>
  <si>
    <t>CD Ourense</t>
  </si>
  <si>
    <t>Peña Sport FC</t>
  </si>
  <si>
    <t>FC Courtételle</t>
  </si>
  <si>
    <t>Alcione</t>
  </si>
  <si>
    <t>Forlì FC</t>
  </si>
  <si>
    <t>Giugliano</t>
  </si>
  <si>
    <t>FC Dieppe</t>
  </si>
  <si>
    <t>SAS Épinal</t>
  </si>
  <si>
    <t>GOAL FC</t>
  </si>
  <si>
    <t>AFC Rochdale</t>
  </si>
  <si>
    <t>SpVgg Bayreuth</t>
  </si>
  <si>
    <t>Tasmania Berlin</t>
  </si>
  <si>
    <t>Borussia Dortmund II</t>
  </si>
  <si>
    <t>FC 08 Homburg</t>
  </si>
  <si>
    <t>SC Weiche 08</t>
  </si>
  <si>
    <t>Marbella FC</t>
  </si>
  <si>
    <t>FC Barcelona B</t>
  </si>
  <si>
    <t>Real Oviedo Vetusta</t>
  </si>
  <si>
    <t>FC Bassecourt</t>
  </si>
  <si>
    <t>Giana Erminio</t>
  </si>
  <si>
    <t>Carpi</t>
  </si>
  <si>
    <t>Picerno</t>
  </si>
  <si>
    <t>US Avranches</t>
  </si>
  <si>
    <t>ASC Biesheim</t>
  </si>
  <si>
    <t>RC Grasse</t>
  </si>
  <si>
    <t>Barrow</t>
  </si>
  <si>
    <t>FC Augsburg II</t>
  </si>
  <si>
    <t>Hertha BSC II</t>
  </si>
  <si>
    <t>FC Gütersloh</t>
  </si>
  <si>
    <t>SSV Ulm 1846</t>
  </si>
  <si>
    <t>VfB Lübeck</t>
  </si>
  <si>
    <t>Ciudad Lucena</t>
  </si>
  <si>
    <t>Terrassa FC</t>
  </si>
  <si>
    <t>Bergantiños FC</t>
  </si>
  <si>
    <t>SR Delémont</t>
  </si>
  <si>
    <t>AlbinoLeffe</t>
  </si>
  <si>
    <t>Potenza</t>
  </si>
  <si>
    <t>St. Colomban Locminé</t>
  </si>
  <si>
    <t>SR Colmar</t>
  </si>
  <si>
    <t>Fréjus-St-Raphaël</t>
  </si>
  <si>
    <t>Carlisle United</t>
  </si>
  <si>
    <t>FC Schwaben Augsburg</t>
  </si>
  <si>
    <t>BFC Dynamo</t>
  </si>
  <si>
    <t>Sportfreunde Siegen</t>
  </si>
  <si>
    <t>Stuttgarter Kickers</t>
  </si>
  <si>
    <t>HSC Hannover</t>
  </si>
  <si>
    <t>Atlético Sanluqueño</t>
  </si>
  <si>
    <t>Valencia Mestalla</t>
  </si>
  <si>
    <t>Arosa SC</t>
  </si>
  <si>
    <t>FC Monthey</t>
  </si>
  <si>
    <t>Novara FC</t>
  </si>
  <si>
    <t>US Savoia</t>
  </si>
  <si>
    <t>Châteaubriant</t>
  </si>
  <si>
    <t>AS Beauvais</t>
  </si>
  <si>
    <t>FC Limonest</t>
  </si>
  <si>
    <t>Altrincham</t>
  </si>
  <si>
    <t>TSV Landsberg</t>
  </si>
  <si>
    <t>RSV Eintracht 1949</t>
  </si>
  <si>
    <t>Bonner SC</t>
  </si>
  <si>
    <t>TSV Steinbach</t>
  </si>
  <si>
    <t>FSV Schöningen</t>
  </si>
  <si>
    <t>UCAM Murcia</t>
  </si>
  <si>
    <t>CF Intercity</t>
  </si>
  <si>
    <t>Salamanca CF UDS</t>
  </si>
  <si>
    <t>FC Portalban</t>
  </si>
  <si>
    <t>Pro Vercelli</t>
  </si>
  <si>
    <t>US Granville</t>
  </si>
  <si>
    <t>Wasquehal FC</t>
  </si>
  <si>
    <t>SC Toulon</t>
  </si>
  <si>
    <t>Morecambe</t>
  </si>
  <si>
    <t>SC Eltersdorf</t>
  </si>
  <si>
    <t>1. FC Köln II</t>
  </si>
  <si>
    <t>Hessen Kassel</t>
  </si>
  <si>
    <t>FC Eintracht Norderstedt</t>
  </si>
  <si>
    <t>FC Echallens</t>
  </si>
  <si>
    <t>Ospitaletto</t>
  </si>
  <si>
    <t>Olympique Saumur</t>
  </si>
  <si>
    <t>FC Chambly</t>
  </si>
  <si>
    <t>AS Saint-Priest</t>
  </si>
  <si>
    <t>Sportfreunde Lotte</t>
  </si>
  <si>
    <t>SV Sandhausen</t>
  </si>
  <si>
    <t>SV Todesfelde</t>
  </si>
  <si>
    <t>Stade-Payerne</t>
  </si>
  <si>
    <t>US Chantilly</t>
  </si>
  <si>
    <t>FC Rousset SVO</t>
  </si>
  <si>
    <t>VfL Bocholt</t>
  </si>
  <si>
    <t>Kickers Offenbach</t>
  </si>
  <si>
    <t>Meyrin FC</t>
  </si>
  <si>
    <t>FC Mulhouse</t>
  </si>
  <si>
    <t>Thonon Évian</t>
  </si>
  <si>
    <t>SC Paderborn 07 II</t>
  </si>
  <si>
    <t>SG Barockstadt</t>
  </si>
  <si>
    <t>USI Azzurri</t>
  </si>
  <si>
    <t>SV Rödinghausen</t>
  </si>
  <si>
    <t>Astoria Walldorf</t>
  </si>
  <si>
    <t>Servette U21</t>
  </si>
  <si>
    <t>SC Wiedenbrück</t>
  </si>
  <si>
    <t>Eintracht Trier</t>
  </si>
  <si>
    <t>SV Bergisch Gladbach 09</t>
  </si>
  <si>
    <t>VfR Aalen</t>
  </si>
  <si>
    <t>Wattenscheid 09</t>
  </si>
  <si>
    <t>vaud</t>
  </si>
  <si>
    <t>genève</t>
  </si>
  <si>
    <t>nordosten</t>
  </si>
  <si>
    <t>ostdeutschland</t>
  </si>
  <si>
    <t>nrw</t>
  </si>
  <si>
    <t>hessen-niedersachsen</t>
  </si>
  <si>
    <t>norddeutschland</t>
  </si>
  <si>
    <t>belgium</t>
  </si>
  <si>
    <t>N-W Belgium</t>
  </si>
  <si>
    <t>N-E Belgium</t>
  </si>
  <si>
    <t>brussels</t>
  </si>
  <si>
    <t>S-O Belgique</t>
  </si>
  <si>
    <t>Club Brugge</t>
  </si>
  <si>
    <t>KRC Genk</t>
  </si>
  <si>
    <t>Union Saint-Gilloise</t>
  </si>
  <si>
    <t>Sporting Charleroi</t>
  </si>
  <si>
    <t>Standard Liège</t>
  </si>
  <si>
    <t>RE Virton</t>
  </si>
  <si>
    <t>KAA Gent</t>
  </si>
  <si>
    <t>Royal Antwerp FC</t>
  </si>
  <si>
    <t>RSC Anderlecht</t>
  </si>
  <si>
    <t>RAAL La Louvière</t>
  </si>
  <si>
    <t>RFC Liège</t>
  </si>
  <si>
    <t>RSC Habay</t>
  </si>
  <si>
    <t>Cercle Brugge</t>
  </si>
  <si>
    <t>Sint-Truiden</t>
  </si>
  <si>
    <t>RSCA Futures</t>
  </si>
  <si>
    <t>Francs Borains</t>
  </si>
  <si>
    <t>KAS Eupen</t>
  </si>
  <si>
    <t>Zulte Waregem</t>
  </si>
  <si>
    <t>KV Mechelen</t>
  </si>
  <si>
    <t>Union SG B</t>
  </si>
  <si>
    <t>RAEC Mons</t>
  </si>
  <si>
    <t>RFC Seraing</t>
  </si>
  <si>
    <t>SK Beveren</t>
  </si>
  <si>
    <t>KVC Westerlo</t>
  </si>
  <si>
    <t>Crossing Schaerbeek</t>
  </si>
  <si>
    <t>Tubize-Braine</t>
  </si>
  <si>
    <t>RFC Meux</t>
  </si>
  <si>
    <t>KV Kortrijk</t>
  </si>
  <si>
    <t>OH Leuven</t>
  </si>
  <si>
    <t>Zébra Élites</t>
  </si>
  <si>
    <t>Union Rochefortoise</t>
  </si>
  <si>
    <t>FCV Dender EH</t>
  </si>
  <si>
    <t>Lommel SK</t>
  </si>
  <si>
    <t>FC Flénu</t>
  </si>
  <si>
    <t>SL16 FC</t>
  </si>
  <si>
    <t>KSC Lokeren</t>
  </si>
  <si>
    <t>K Beerschot VA</t>
  </si>
  <si>
    <t>RCS Brainois</t>
  </si>
  <si>
    <t>Royal Stockay</t>
  </si>
  <si>
    <t>SK Roeselare</t>
  </si>
  <si>
    <t>Patro Eisden</t>
  </si>
  <si>
    <t>Ostiches-Ath</t>
  </si>
  <si>
    <t>Union Namur</t>
  </si>
  <si>
    <t>Jong KAA Gent</t>
  </si>
  <si>
    <t>Lierse SK</t>
  </si>
  <si>
    <t>Onhaye</t>
  </si>
  <si>
    <t>Club NXT</t>
  </si>
  <si>
    <t>Jong Genk</t>
  </si>
  <si>
    <t>Stade Verviétois</t>
  </si>
  <si>
    <t>Royal Knokke FC</t>
  </si>
  <si>
    <t>Sporting Hasselt</t>
  </si>
  <si>
    <t>Union Hutoise</t>
  </si>
  <si>
    <t>Jong Cercle</t>
  </si>
  <si>
    <t>SV Belisia Bilzen</t>
  </si>
  <si>
    <t>KFC Merelbeke</t>
  </si>
  <si>
    <t>Hoogstraten VV</t>
  </si>
  <si>
    <t>KVV Zelzate</t>
  </si>
  <si>
    <t>Thes Sport</t>
  </si>
  <si>
    <t>KRC Harelbeke</t>
  </si>
  <si>
    <t>Lyra-Lierse Berlaar</t>
  </si>
  <si>
    <t>Mandel United</t>
  </si>
  <si>
    <t>KFC Dessel Sport</t>
  </si>
  <si>
    <t>KV Diksmuide-Oostende</t>
  </si>
  <si>
    <t>KVK Tienen-Hageland</t>
  </si>
  <si>
    <t>KVK Ninove</t>
  </si>
  <si>
    <t>OH Leuven U23</t>
  </si>
  <si>
    <t>FC Lebbeke</t>
  </si>
  <si>
    <t>KSK Heist</t>
  </si>
  <si>
    <t>RFC Wetteren</t>
  </si>
  <si>
    <t>KFC Houtvenne</t>
  </si>
  <si>
    <t>SV Petegem</t>
  </si>
  <si>
    <t>Diegem Sport</t>
  </si>
  <si>
    <t>KSV Oostkamp</t>
  </si>
  <si>
    <t>K Londerzeel SK</t>
  </si>
  <si>
    <t>Torhout 1992</t>
  </si>
  <si>
    <t>Young Reds Antwerp</t>
  </si>
  <si>
    <t>Royal Cappellen</t>
  </si>
  <si>
    <t>Termien</t>
  </si>
  <si>
    <t>K Rupel Boom FC</t>
  </si>
  <si>
    <t>K Bocholter VV</t>
  </si>
  <si>
    <t>portugal</t>
  </si>
  <si>
    <t>Norte</t>
  </si>
  <si>
    <t>Centro</t>
  </si>
  <si>
    <t>Lisbon</t>
  </si>
  <si>
    <t>Ilhas</t>
  </si>
  <si>
    <t>FC Porto</t>
  </si>
  <si>
    <t>Académico de Viseu</t>
  </si>
  <si>
    <t>Lusitano Évora</t>
  </si>
  <si>
    <t>Sporting</t>
  </si>
  <si>
    <t>Portimonense</t>
  </si>
  <si>
    <t>CD Santa Clara</t>
  </si>
  <si>
    <t>SC Braga</t>
  </si>
  <si>
    <t>CD Tondela</t>
  </si>
  <si>
    <t>Amora FC</t>
  </si>
  <si>
    <t>Benfica</t>
  </si>
  <si>
    <t>Farense</t>
  </si>
  <si>
    <t>CD Nacional</t>
  </si>
  <si>
    <t>Famalicão</t>
  </si>
  <si>
    <t>UD Leiria</t>
  </si>
  <si>
    <t>Juventude SC</t>
  </si>
  <si>
    <t>GD Estoril Praia</t>
  </si>
  <si>
    <t>Louletano</t>
  </si>
  <si>
    <t>CS Marítimo</t>
  </si>
  <si>
    <t>Gil Vicente</t>
  </si>
  <si>
    <t>Académica Coimbra</t>
  </si>
  <si>
    <t>GD Alcochetense</t>
  </si>
  <si>
    <t>FC Alverca</t>
  </si>
  <si>
    <t>AD Camacha</t>
  </si>
  <si>
    <t>Moreirense FC</t>
  </si>
  <si>
    <t>Caldas</t>
  </si>
  <si>
    <t>O Elvas</t>
  </si>
  <si>
    <t>Estrela Amadora</t>
  </si>
  <si>
    <t>AD Machico</t>
  </si>
  <si>
    <t>FC Arouca</t>
  </si>
  <si>
    <t>Marco 09</t>
  </si>
  <si>
    <t>Casa Pia AC</t>
  </si>
  <si>
    <t>Vitória Guimarães</t>
  </si>
  <si>
    <t>SC Covilhã</t>
  </si>
  <si>
    <t>Torreense</t>
  </si>
  <si>
    <t>Rio Ave FC</t>
  </si>
  <si>
    <t>Vitória Sernache</t>
  </si>
  <si>
    <t>Benfica B</t>
  </si>
  <si>
    <t>AFS</t>
  </si>
  <si>
    <t>CF Marialvas</t>
  </si>
  <si>
    <t>Sporting B</t>
  </si>
  <si>
    <t>Vizela</t>
  </si>
  <si>
    <t>Oliveira do Hospital</t>
  </si>
  <si>
    <t>OS Belenenses</t>
  </si>
  <si>
    <t>Porto B</t>
  </si>
  <si>
    <t>SC Beira-Mar</t>
  </si>
  <si>
    <t>Mafra</t>
  </si>
  <si>
    <t>Leixões</t>
  </si>
  <si>
    <t>Naval 1893</t>
  </si>
  <si>
    <t>UD Santarém</t>
  </si>
  <si>
    <t>Feirense</t>
  </si>
  <si>
    <t>UD Serra</t>
  </si>
  <si>
    <t>Atlético CP</t>
  </si>
  <si>
    <t>GD Chaves</t>
  </si>
  <si>
    <t>Mortágua FC</t>
  </si>
  <si>
    <t>1º Dezembro</t>
  </si>
  <si>
    <t>Felgueiras</t>
  </si>
  <si>
    <t>CD Fátima</t>
  </si>
  <si>
    <t>AC Malveira</t>
  </si>
  <si>
    <t>Lusitânia Lourosa</t>
  </si>
  <si>
    <t>SU Sintrense</t>
  </si>
  <si>
    <t>Penafiel</t>
  </si>
  <si>
    <t>Amarante</t>
  </si>
  <si>
    <t>AD Fafe</t>
  </si>
  <si>
    <t>Paços de Ferreira</t>
  </si>
  <si>
    <t>Oliveirense</t>
  </si>
  <si>
    <t>V. Guimarães B</t>
  </si>
  <si>
    <t>Varzim</t>
  </si>
  <si>
    <t>Trofense</t>
  </si>
  <si>
    <t>São João de Ver</t>
  </si>
  <si>
    <t>Paredes</t>
  </si>
  <si>
    <t>Leça FC</t>
  </si>
  <si>
    <t>Vianense</t>
  </si>
  <si>
    <t>GD Bragança</t>
  </si>
  <si>
    <t>Rebordosa</t>
  </si>
  <si>
    <t>AD Sanjoanense</t>
  </si>
  <si>
    <t>Brito SC</t>
  </si>
  <si>
    <t>AD Limianos</t>
  </si>
  <si>
    <t>Tirsense</t>
  </si>
  <si>
    <t>Cinfães</t>
  </si>
  <si>
    <t>FC Alpendorada</t>
  </si>
  <si>
    <t>Noroeste</t>
  </si>
  <si>
    <t>Sul</t>
  </si>
  <si>
    <t>S-E Belgique</t>
  </si>
  <si>
    <t>Noord België</t>
  </si>
  <si>
    <t>league</t>
  </si>
  <si>
    <t>Eredivisie</t>
  </si>
  <si>
    <t>Eerste Divisie</t>
  </si>
  <si>
    <t>Tweede Divisie</t>
  </si>
  <si>
    <t>Derde Divisie</t>
  </si>
  <si>
    <t>Premier League</t>
  </si>
  <si>
    <t>Championship</t>
  </si>
  <si>
    <t>League One</t>
  </si>
  <si>
    <t>League Two</t>
  </si>
  <si>
    <t>National League</t>
  </si>
  <si>
    <t>Bundesliga</t>
  </si>
  <si>
    <t>2. Bundesliga</t>
  </si>
  <si>
    <t>3. Liga</t>
  </si>
  <si>
    <t>1. Regionalliga</t>
  </si>
  <si>
    <t>2. Regionalliga</t>
  </si>
  <si>
    <t>3. Regionalliga</t>
  </si>
  <si>
    <t>La Liga</t>
  </si>
  <si>
    <t>La Liga 2</t>
  </si>
  <si>
    <t>Primera Superior</t>
  </si>
  <si>
    <t>Primera Inferior</t>
  </si>
  <si>
    <t>Segunda Federación</t>
  </si>
  <si>
    <t>Super League</t>
  </si>
  <si>
    <t>Challenge League</t>
  </si>
  <si>
    <t>Promotion League</t>
  </si>
  <si>
    <t>1. Liga</t>
  </si>
  <si>
    <t>2. Liga</t>
  </si>
  <si>
    <t>Serie A</t>
  </si>
  <si>
    <t>Serie B</t>
  </si>
  <si>
    <t>Serie C</t>
  </si>
  <si>
    <t>Serie D</t>
  </si>
  <si>
    <t>Primeira Liga</t>
  </si>
  <si>
    <t>Liga Portugal 2</t>
  </si>
  <si>
    <t>Liga 3</t>
  </si>
  <si>
    <t>Liga 4</t>
  </si>
  <si>
    <t>Ligue 1</t>
  </si>
  <si>
    <t>Ligue 2</t>
  </si>
  <si>
    <t>Ligue 3</t>
  </si>
  <si>
    <t>Ligue 4</t>
  </si>
  <si>
    <t>Ligue 5</t>
  </si>
  <si>
    <t>Jupiler Pro League</t>
  </si>
  <si>
    <t>Challenger Pro League</t>
  </si>
  <si>
    <t>Belgian Division 1</t>
  </si>
  <si>
    <t>Belgian Division 2</t>
  </si>
  <si>
    <t>Note: values computed from clubs.js (LEAGUES_DATA tiers). Leagues ordered by tier. Row 3 = COUNTA formula; rows 4-5 = average / max of club reputations (avg rounded to 1 decimal).</t>
  </si>
  <si>
    <t>Nation Rep</t>
  </si>
  <si>
    <t>Population</t>
  </si>
  <si>
    <t>log(Population)</t>
  </si>
  <si>
    <t>Argentina</t>
  </si>
  <si>
    <t>Brazil</t>
  </si>
  <si>
    <t>Morocco</t>
  </si>
  <si>
    <t>Mexico</t>
  </si>
  <si>
    <t>Colombia</t>
  </si>
  <si>
    <t>Japan</t>
  </si>
  <si>
    <t>USA</t>
  </si>
  <si>
    <t>Croatia</t>
  </si>
  <si>
    <t>Senegal</t>
  </si>
  <si>
    <t>Norway</t>
  </si>
  <si>
    <t>Iran</t>
  </si>
  <si>
    <t>Egypt</t>
  </si>
  <si>
    <t>Nigeria</t>
  </si>
  <si>
    <t>Ghana</t>
  </si>
  <si>
    <t>Türkiye</t>
  </si>
  <si>
    <t>South Africa</t>
  </si>
  <si>
    <t>Australia</t>
  </si>
  <si>
    <t>New Zealand</t>
  </si>
  <si>
    <t>Ireland</t>
  </si>
  <si>
    <t>Wales</t>
  </si>
  <si>
    <t>Iceland</t>
  </si>
  <si>
    <t>India</t>
  </si>
  <si>
    <t>China</t>
  </si>
  <si>
    <t>Serbia</t>
  </si>
  <si>
    <t>Greece</t>
  </si>
  <si>
    <t>Albania</t>
  </si>
  <si>
    <t>Bosnia</t>
  </si>
  <si>
    <t>Hungary</t>
  </si>
  <si>
    <t>Ukraine</t>
  </si>
  <si>
    <t>Sweden</t>
  </si>
  <si>
    <t>Denmark</t>
  </si>
  <si>
    <t>Finland</t>
  </si>
  <si>
    <t>Burkina Faso</t>
  </si>
  <si>
    <t>DR Congo</t>
  </si>
  <si>
    <t>Indonesia</t>
  </si>
  <si>
    <t>South Korea</t>
  </si>
  <si>
    <t>Ecuador</t>
  </si>
  <si>
    <t>norm(log(pop))</t>
  </si>
  <si>
    <t>Nation Value</t>
  </si>
  <si>
    <t>norm(nvalue)</t>
  </si>
  <si>
    <t>Ivory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</si>
</sst>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"/>
  </numFmts>
  <fonts count="9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i/>
      <sz val="8"/>
      <name val="Arial"/>
      <charset val="1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theme="2" tint="-0.249977111117893"/>
        <bgColor rgb="FFF2F2F2"/>
      </patternFill>
    </fill>
    <fill>
      <patternFill patternType="solid">
        <fgColor theme="5" tint="0.59999389629810485"/>
        <bgColor rgb="FFF2F2F2"/>
      </patternFill>
    </fill>
    <fill>
      <patternFill patternType="solid">
        <fgColor theme="7" tint="0.39997558519241921"/>
        <bgColor rgb="FFF2F2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/>
    <xf numFmtId="1" fontId="0" fillId="7" borderId="0" xfId="0" applyNumberFormat="1" applyFill="1"/>
    <xf numFmtId="1" fontId="0" fillId="7" borderId="2" xfId="0" applyNumberFormat="1" applyFill="1" applyBorder="1"/>
    <xf numFmtId="1" fontId="0" fillId="0" borderId="0" xfId="0" applyNumberFormat="1"/>
    <xf numFmtId="1" fontId="0" fillId="0" borderId="2" xfId="0" applyNumberFormat="1" applyBorder="1"/>
    <xf numFmtId="0" fontId="3" fillId="0" borderId="2" xfId="0" applyFont="1" applyBorder="1"/>
    <xf numFmtId="0" fontId="1" fillId="3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" xfId="0" applyBorder="1"/>
    <xf numFmtId="1" fontId="0" fillId="7" borderId="3" xfId="0" applyNumberFormat="1" applyFill="1" applyBorder="1"/>
    <xf numFmtId="1" fontId="0" fillId="0" borderId="3" xfId="0" applyNumberFormat="1" applyBorder="1"/>
    <xf numFmtId="0" fontId="3" fillId="0" borderId="3" xfId="0" applyFont="1" applyBorder="1"/>
    <xf numFmtId="0" fontId="6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1" fontId="8" fillId="7" borderId="0" xfId="0" applyNumberFormat="1" applyFont="1" applyFill="1"/>
    <xf numFmtId="1" fontId="8" fillId="0" borderId="0" xfId="0" applyNumberFormat="1" applyFont="1"/>
    <xf numFmtId="164" fontId="8" fillId="0" borderId="0" xfId="0" applyNumberFormat="1" applyFont="1"/>
    <xf numFmtId="1" fontId="8" fillId="8" borderId="0" xfId="0" applyNumberFormat="1" applyFont="1" applyFill="1"/>
    <xf numFmtId="0" fontId="7" fillId="0" borderId="0" xfId="0" applyFont="1"/>
    <xf numFmtId="0" fontId="6" fillId="3" borderId="2" xfId="0" applyFont="1" applyFill="1" applyBorder="1" applyAlignment="1">
      <alignment horizontal="center"/>
    </xf>
    <xf numFmtId="165" fontId="0" fillId="0" borderId="0" xfId="0" applyNumberFormat="1"/>
    <xf numFmtId="165" fontId="8" fillId="0" borderId="0" xfId="0" applyNumberFormat="1" applyFont="1"/>
    <xf numFmtId="165" fontId="4" fillId="0" borderId="0" xfId="0" applyNumberFormat="1" applyFont="1"/>
    <xf numFmtId="0" fontId="6" fillId="0" borderId="0" xfId="0" applyFont="1"/>
    <xf numFmtId="0" fontId="0" fillId="0" borderId="0" xfId="0" applyAlignment="1">
      <alignment horizontal="center" vertical="center"/>
    </xf>
    <xf numFmtId="3" fontId="3" fillId="0" borderId="0" xfId="0" applyNumberFormat="1" applyFont="1"/>
    <xf numFmtId="2" fontId="3" fillId="0" borderId="0" xfId="0" applyNumberFormat="1" applyFont="1"/>
    <xf numFmtId="0" fontId="2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0"/>
  <sheetViews>
    <sheetView zoomScaleNormal="100" workbookViewId="0">
      <pane xSplit="1" ySplit="2" topLeftCell="AT3" activePane="bottomRight" state="frozen"/>
      <selection pane="topRight" activeCell="B1" sqref="B1"/>
      <selection pane="bottomLeft" activeCell="A3" sqref="A3"/>
      <selection pane="bottomRight" activeCell="AU8" sqref="AU8"/>
    </sheetView>
  </sheetViews>
  <sheetFormatPr defaultColWidth="8.7109375" defaultRowHeight="15" x14ac:dyDescent="0.25"/>
  <cols>
    <col min="1" max="1" width="20" customWidth="1"/>
    <col min="2" max="3" width="14" customWidth="1"/>
    <col min="4" max="4" width="15" customWidth="1"/>
    <col min="5" max="6" width="14" customWidth="1"/>
    <col min="7" max="7" width="16.42578125" style="6" customWidth="1"/>
    <col min="8" max="8" width="16" customWidth="1"/>
    <col min="9" max="10" width="14" customWidth="1"/>
    <col min="11" max="11" width="15" customWidth="1"/>
    <col min="12" max="13" width="14" customWidth="1"/>
    <col min="14" max="14" width="15" customWidth="1"/>
    <col min="15" max="23" width="14" customWidth="1"/>
    <col min="24" max="24" width="15" customWidth="1"/>
    <col min="25" max="25" width="16" customWidth="1"/>
    <col min="26" max="26" width="19" customWidth="1"/>
    <col min="27" max="27" width="20" customWidth="1"/>
    <col min="28" max="28" width="15" customWidth="1"/>
    <col min="29" max="32" width="14" customWidth="1"/>
    <col min="33" max="33" width="17" customWidth="1"/>
    <col min="34" max="34" width="16" customWidth="1"/>
    <col min="35" max="38" width="14" customWidth="1"/>
    <col min="39" max="39" width="18" customWidth="1"/>
    <col min="40" max="40" width="16" customWidth="1"/>
    <col min="41" max="41" width="17" customWidth="1"/>
    <col min="42" max="45" width="14" customWidth="1"/>
    <col min="46" max="46" width="15" customWidth="1"/>
    <col min="47" max="52" width="14" customWidth="1"/>
    <col min="53" max="53" width="15" customWidth="1"/>
    <col min="54" max="61" width="14" customWidth="1"/>
  </cols>
  <sheetData>
    <row r="1" spans="1:61" x14ac:dyDescent="0.25">
      <c r="A1" s="1" t="s">
        <v>0</v>
      </c>
      <c r="B1" s="38" t="s">
        <v>1</v>
      </c>
      <c r="C1" s="38"/>
      <c r="D1" s="38"/>
      <c r="E1" s="38"/>
      <c r="F1" s="38"/>
      <c r="G1" s="41"/>
      <c r="H1" s="42" t="s">
        <v>2</v>
      </c>
      <c r="I1" s="43"/>
      <c r="J1" s="43"/>
      <c r="K1" s="43"/>
      <c r="L1" s="43"/>
      <c r="M1" s="43"/>
      <c r="N1" s="43"/>
      <c r="O1" s="43"/>
      <c r="P1" s="44"/>
      <c r="Q1" s="37" t="s">
        <v>3</v>
      </c>
      <c r="R1" s="37"/>
      <c r="S1" s="37"/>
      <c r="T1" s="37"/>
      <c r="U1" s="37"/>
      <c r="V1" s="37"/>
      <c r="W1" s="45"/>
      <c r="X1" s="46" t="s">
        <v>4</v>
      </c>
      <c r="Y1" s="38"/>
      <c r="Z1" s="38"/>
      <c r="AA1" s="38"/>
      <c r="AB1" s="38"/>
      <c r="AC1" s="41"/>
      <c r="AD1" s="47" t="s">
        <v>5</v>
      </c>
      <c r="AE1" s="47"/>
      <c r="AF1" s="47"/>
      <c r="AG1" s="47"/>
      <c r="AH1" s="47"/>
      <c r="AI1" s="47"/>
      <c r="AJ1" s="47"/>
      <c r="AK1" s="47"/>
      <c r="AL1" s="47"/>
      <c r="AM1" s="39" t="s">
        <v>6</v>
      </c>
      <c r="AN1" s="39"/>
      <c r="AO1" s="39"/>
      <c r="AP1" s="39"/>
      <c r="AQ1" s="39"/>
      <c r="AR1" s="40" t="s">
        <v>7</v>
      </c>
      <c r="AS1" s="40"/>
      <c r="AT1" s="40"/>
      <c r="AU1" s="40"/>
      <c r="AV1" s="40"/>
      <c r="AW1" s="40"/>
      <c r="AX1" s="37" t="s">
        <v>758</v>
      </c>
      <c r="AY1" s="37"/>
      <c r="AZ1" s="37"/>
      <c r="BA1" s="37"/>
      <c r="BB1" s="37"/>
      <c r="BC1" s="37"/>
      <c r="BD1" s="38" t="s">
        <v>843</v>
      </c>
      <c r="BE1" s="38"/>
      <c r="BF1" s="38"/>
      <c r="BG1" s="38"/>
      <c r="BH1" s="38"/>
      <c r="BI1" s="38"/>
    </row>
    <row r="2" spans="1:61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8" t="s">
        <v>14</v>
      </c>
      <c r="H2" s="15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8" t="s">
        <v>23</v>
      </c>
      <c r="Q2" s="2" t="s">
        <v>24</v>
      </c>
      <c r="R2" s="21" t="s">
        <v>753</v>
      </c>
      <c r="S2" s="21" t="s">
        <v>754</v>
      </c>
      <c r="T2" s="21" t="s">
        <v>756</v>
      </c>
      <c r="U2" s="21" t="s">
        <v>755</v>
      </c>
      <c r="V2" s="2" t="s">
        <v>25</v>
      </c>
      <c r="W2" s="29" t="s">
        <v>757</v>
      </c>
      <c r="X2" s="15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8" t="s">
        <v>31</v>
      </c>
      <c r="AD2" s="21" t="s">
        <v>32</v>
      </c>
      <c r="AE2" s="21" t="s">
        <v>751</v>
      </c>
      <c r="AF2" s="21" t="s">
        <v>752</v>
      </c>
      <c r="AG2" s="21" t="s">
        <v>33</v>
      </c>
      <c r="AH2" s="21" t="s">
        <v>34</v>
      </c>
      <c r="AI2" s="21" t="s">
        <v>35</v>
      </c>
      <c r="AJ2" s="21" t="s">
        <v>36</v>
      </c>
      <c r="AK2" s="21" t="s">
        <v>37</v>
      </c>
      <c r="AL2" s="21" t="s">
        <v>38</v>
      </c>
      <c r="AM2" s="21" t="s">
        <v>39</v>
      </c>
      <c r="AN2" s="21" t="s">
        <v>40</v>
      </c>
      <c r="AO2" s="21" t="s">
        <v>41</v>
      </c>
      <c r="AP2" s="21" t="s">
        <v>42</v>
      </c>
      <c r="AQ2" s="21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759</v>
      </c>
      <c r="AY2" s="2" t="s">
        <v>760</v>
      </c>
      <c r="AZ2" s="2" t="s">
        <v>931</v>
      </c>
      <c r="BA2" s="2" t="s">
        <v>761</v>
      </c>
      <c r="BB2" s="2" t="s">
        <v>762</v>
      </c>
      <c r="BC2" s="2" t="s">
        <v>930</v>
      </c>
      <c r="BD2" s="2" t="s">
        <v>844</v>
      </c>
      <c r="BE2" s="2" t="s">
        <v>928</v>
      </c>
      <c r="BF2" s="2" t="s">
        <v>845</v>
      </c>
      <c r="BG2" s="2" t="s">
        <v>929</v>
      </c>
      <c r="BH2" s="2" t="s">
        <v>846</v>
      </c>
      <c r="BI2" s="2" t="s">
        <v>847</v>
      </c>
    </row>
    <row r="3" spans="1:61" x14ac:dyDescent="0.25">
      <c r="A3" s="1" t="s">
        <v>50</v>
      </c>
      <c r="B3" s="3">
        <f t="shared" ref="B3:AW3" si="0">COUNTA(B15:B206)</f>
        <v>7</v>
      </c>
      <c r="C3" s="3">
        <f t="shared" si="0"/>
        <v>14</v>
      </c>
      <c r="D3" s="3">
        <f t="shared" si="0"/>
        <v>10</v>
      </c>
      <c r="E3" s="3">
        <f t="shared" si="0"/>
        <v>12</v>
      </c>
      <c r="F3" s="3">
        <f t="shared" si="0"/>
        <v>17</v>
      </c>
      <c r="G3" s="7">
        <f t="shared" si="0"/>
        <v>14</v>
      </c>
      <c r="H3" s="16">
        <f t="shared" si="0"/>
        <v>17</v>
      </c>
      <c r="I3" s="3">
        <f t="shared" si="0"/>
        <v>24</v>
      </c>
      <c r="J3" s="3">
        <f t="shared" si="0"/>
        <v>14</v>
      </c>
      <c r="K3" s="3">
        <f t="shared" si="0"/>
        <v>13</v>
      </c>
      <c r="L3" s="3">
        <f t="shared" si="0"/>
        <v>6</v>
      </c>
      <c r="M3" s="3">
        <f t="shared" si="0"/>
        <v>15</v>
      </c>
      <c r="N3" s="3">
        <f t="shared" si="0"/>
        <v>11</v>
      </c>
      <c r="O3" s="3">
        <f t="shared" si="0"/>
        <v>13</v>
      </c>
      <c r="P3" s="7">
        <f t="shared" si="0"/>
        <v>12</v>
      </c>
      <c r="Q3" s="3">
        <f t="shared" si="0"/>
        <v>23</v>
      </c>
      <c r="R3" s="3">
        <f>COUNTA(R15:R200)</f>
        <v>12</v>
      </c>
      <c r="S3" s="3">
        <f t="shared" ref="S3:T3" si="1">COUNTA(S15:S200)</f>
        <v>11</v>
      </c>
      <c r="T3" s="3">
        <f t="shared" si="1"/>
        <v>20</v>
      </c>
      <c r="U3" s="3">
        <f t="shared" si="0"/>
        <v>30</v>
      </c>
      <c r="V3" s="3">
        <f t="shared" si="0"/>
        <v>21</v>
      </c>
      <c r="W3" s="7">
        <f t="shared" si="0"/>
        <v>11</v>
      </c>
      <c r="X3" s="16">
        <f t="shared" si="0"/>
        <v>22</v>
      </c>
      <c r="Y3" s="3">
        <f t="shared" si="0"/>
        <v>17</v>
      </c>
      <c r="Z3" s="3">
        <f t="shared" si="0"/>
        <v>22</v>
      </c>
      <c r="AA3" s="3">
        <f t="shared" si="0"/>
        <v>22</v>
      </c>
      <c r="AB3" s="3">
        <f t="shared" si="0"/>
        <v>18</v>
      </c>
      <c r="AC3" s="7">
        <f t="shared" si="0"/>
        <v>5</v>
      </c>
      <c r="AD3" s="22">
        <f>COUNTA(AD15:AD206)</f>
        <v>9</v>
      </c>
      <c r="AE3" s="22">
        <f t="shared" ref="AE3:AF3" si="2">COUNTA(AE15:AE206)</f>
        <v>9</v>
      </c>
      <c r="AF3" s="22">
        <f t="shared" si="2"/>
        <v>8</v>
      </c>
      <c r="AG3" s="22">
        <f t="shared" si="0"/>
        <v>9</v>
      </c>
      <c r="AH3" s="22">
        <f t="shared" si="0"/>
        <v>14</v>
      </c>
      <c r="AI3" s="22">
        <f t="shared" si="0"/>
        <v>9</v>
      </c>
      <c r="AJ3" s="22">
        <f t="shared" si="0"/>
        <v>9</v>
      </c>
      <c r="AK3" s="22">
        <f t="shared" si="0"/>
        <v>9</v>
      </c>
      <c r="AL3" s="22">
        <f t="shared" si="0"/>
        <v>12</v>
      </c>
      <c r="AM3" s="22">
        <f t="shared" si="0"/>
        <v>23</v>
      </c>
      <c r="AN3" s="22">
        <f t="shared" si="0"/>
        <v>19</v>
      </c>
      <c r="AO3" s="22">
        <f t="shared" si="0"/>
        <v>17</v>
      </c>
      <c r="AP3" s="22">
        <f t="shared" si="0"/>
        <v>21</v>
      </c>
      <c r="AQ3" s="22">
        <f t="shared" si="0"/>
        <v>4</v>
      </c>
      <c r="AR3" s="3">
        <f t="shared" si="0"/>
        <v>23</v>
      </c>
      <c r="AS3" s="3">
        <f t="shared" si="0"/>
        <v>25</v>
      </c>
      <c r="AT3" s="3">
        <f t="shared" si="0"/>
        <v>14</v>
      </c>
      <c r="AU3" s="3">
        <f t="shared" si="0"/>
        <v>25</v>
      </c>
      <c r="AV3" s="3">
        <f t="shared" si="0"/>
        <v>10</v>
      </c>
      <c r="AW3" s="3">
        <f t="shared" si="0"/>
        <v>3</v>
      </c>
      <c r="AX3" s="3">
        <f>COUNTA(AX15:AX200)</f>
        <v>24</v>
      </c>
      <c r="AY3" s="3">
        <f>COUNTA(AY15:AY200)</f>
        <v>15</v>
      </c>
      <c r="AZ3" s="3">
        <f t="shared" ref="AZ3:BH3" si="3">COUNTA(AZ15:AZ200)</f>
        <v>13</v>
      </c>
      <c r="BA3" s="3">
        <f t="shared" si="3"/>
        <v>5</v>
      </c>
      <c r="BB3" s="3">
        <f t="shared" si="3"/>
        <v>9</v>
      </c>
      <c r="BC3" s="3">
        <f t="shared" si="3"/>
        <v>14</v>
      </c>
      <c r="BD3" s="3">
        <f t="shared" si="3"/>
        <v>25</v>
      </c>
      <c r="BE3" s="3">
        <f t="shared" si="3"/>
        <v>11</v>
      </c>
      <c r="BF3" s="3">
        <f t="shared" si="3"/>
        <v>15</v>
      </c>
      <c r="BG3" s="3">
        <f t="shared" si="3"/>
        <v>8</v>
      </c>
      <c r="BH3" s="3">
        <f t="shared" si="3"/>
        <v>16</v>
      </c>
      <c r="BI3" s="3">
        <f>COUNTA(BI15:BI200)</f>
        <v>5</v>
      </c>
    </row>
    <row r="4" spans="1:61" x14ac:dyDescent="0.25">
      <c r="A4" s="1" t="s">
        <v>51</v>
      </c>
      <c r="B4" s="3">
        <v>53</v>
      </c>
      <c r="C4" s="3">
        <v>53.6</v>
      </c>
      <c r="D4" s="3">
        <v>55.4</v>
      </c>
      <c r="E4" s="3">
        <v>43.8</v>
      </c>
      <c r="F4" s="3">
        <v>57.1</v>
      </c>
      <c r="G4" s="7">
        <v>50.5</v>
      </c>
      <c r="H4" s="16">
        <v>64.900000000000006</v>
      </c>
      <c r="I4" s="3">
        <v>56.9</v>
      </c>
      <c r="J4" s="3">
        <v>49.9</v>
      </c>
      <c r="K4" s="3">
        <v>57.2</v>
      </c>
      <c r="L4" s="3">
        <v>58.2</v>
      </c>
      <c r="M4" s="3">
        <v>54.1</v>
      </c>
      <c r="N4" s="3">
        <v>53.6</v>
      </c>
      <c r="O4" s="3">
        <v>53.2</v>
      </c>
      <c r="P4" s="7">
        <v>52.4</v>
      </c>
      <c r="Q4" s="3">
        <v>44.7</v>
      </c>
      <c r="R4" s="22">
        <v>41.9</v>
      </c>
      <c r="S4" s="22">
        <v>50</v>
      </c>
      <c r="T4" s="3">
        <v>48.2</v>
      </c>
      <c r="U4" s="3">
        <v>51.9</v>
      </c>
      <c r="V4" s="3">
        <v>54</v>
      </c>
      <c r="W4" s="7">
        <v>44.9</v>
      </c>
      <c r="X4" s="16">
        <v>51.2</v>
      </c>
      <c r="Y4" s="3">
        <v>55.8</v>
      </c>
      <c r="Z4" s="3">
        <v>60.2</v>
      </c>
      <c r="AA4" s="3">
        <v>55.2</v>
      </c>
      <c r="AB4" s="3">
        <v>54</v>
      </c>
      <c r="AC4" s="7">
        <v>57.4</v>
      </c>
      <c r="AD4" s="22">
        <v>23.4</v>
      </c>
      <c r="AE4" s="22">
        <v>40.299999999999997</v>
      </c>
      <c r="AF4" s="22">
        <v>41.1</v>
      </c>
      <c r="AG4" s="22">
        <v>37.1</v>
      </c>
      <c r="AH4" s="22">
        <v>36.4</v>
      </c>
      <c r="AI4" s="22">
        <v>41.1</v>
      </c>
      <c r="AJ4" s="22">
        <v>33.6</v>
      </c>
      <c r="AK4" s="22">
        <v>41</v>
      </c>
      <c r="AL4" s="22">
        <v>35.1</v>
      </c>
      <c r="AM4" s="22">
        <v>63.7</v>
      </c>
      <c r="AN4" s="22">
        <v>62.7</v>
      </c>
      <c r="AO4" s="22">
        <v>60.1</v>
      </c>
      <c r="AP4" s="22">
        <v>54.8</v>
      </c>
      <c r="AQ4" s="22">
        <v>61.2</v>
      </c>
      <c r="AR4" s="3">
        <v>54.8</v>
      </c>
      <c r="AS4" s="3">
        <v>53.6</v>
      </c>
      <c r="AT4" s="3">
        <v>52.1</v>
      </c>
      <c r="AU4" s="3">
        <v>50.4</v>
      </c>
      <c r="AV4" s="3">
        <v>53.8</v>
      </c>
      <c r="AW4" s="3">
        <v>47.3</v>
      </c>
      <c r="AX4" s="3">
        <v>47</v>
      </c>
      <c r="AY4" s="3">
        <v>49.3</v>
      </c>
      <c r="AZ4" s="3">
        <v>48.5</v>
      </c>
      <c r="BA4" s="3">
        <v>58</v>
      </c>
      <c r="BB4" s="3">
        <v>46.4</v>
      </c>
      <c r="BC4" s="3">
        <v>46.3</v>
      </c>
      <c r="BD4" s="3">
        <v>49</v>
      </c>
      <c r="BE4" s="3">
        <v>56</v>
      </c>
      <c r="BF4" s="3">
        <v>37.700000000000003</v>
      </c>
      <c r="BG4" s="3">
        <v>36.1</v>
      </c>
      <c r="BH4" s="3">
        <v>54.8</v>
      </c>
      <c r="BI4" s="3">
        <v>51.4</v>
      </c>
    </row>
    <row r="5" spans="1:61" x14ac:dyDescent="0.25">
      <c r="A5" s="1" t="s">
        <v>52</v>
      </c>
      <c r="B5" s="3">
        <v>72</v>
      </c>
      <c r="C5" s="3">
        <v>76</v>
      </c>
      <c r="D5" s="3">
        <v>82</v>
      </c>
      <c r="E5" s="3">
        <v>74</v>
      </c>
      <c r="F5" s="3">
        <v>81</v>
      </c>
      <c r="G5" s="7">
        <v>80</v>
      </c>
      <c r="H5" s="16">
        <v>90</v>
      </c>
      <c r="I5" s="3">
        <v>90</v>
      </c>
      <c r="J5" s="3">
        <v>79</v>
      </c>
      <c r="K5" s="3">
        <v>83</v>
      </c>
      <c r="L5" s="3">
        <v>79</v>
      </c>
      <c r="M5" s="3">
        <v>75</v>
      </c>
      <c r="N5" s="3">
        <v>74</v>
      </c>
      <c r="O5" s="3">
        <v>76</v>
      </c>
      <c r="P5" s="7">
        <v>71</v>
      </c>
      <c r="Q5" s="3">
        <v>90</v>
      </c>
      <c r="R5" s="22">
        <v>75</v>
      </c>
      <c r="S5" s="22">
        <v>85</v>
      </c>
      <c r="T5" s="3">
        <v>81</v>
      </c>
      <c r="U5" s="3">
        <v>85</v>
      </c>
      <c r="V5" s="3">
        <v>81</v>
      </c>
      <c r="W5" s="7">
        <v>74</v>
      </c>
      <c r="X5" s="16">
        <v>80</v>
      </c>
      <c r="Y5" s="3">
        <v>90</v>
      </c>
      <c r="Z5" s="3">
        <v>90</v>
      </c>
      <c r="AA5" s="3">
        <v>76</v>
      </c>
      <c r="AB5" s="3">
        <v>79</v>
      </c>
      <c r="AC5" s="7">
        <v>74</v>
      </c>
      <c r="AD5" s="22">
        <v>50</v>
      </c>
      <c r="AE5" s="22">
        <v>70</v>
      </c>
      <c r="AF5" s="22">
        <v>72</v>
      </c>
      <c r="AG5" s="22">
        <v>80</v>
      </c>
      <c r="AH5" s="22">
        <v>75</v>
      </c>
      <c r="AI5" s="22">
        <v>72</v>
      </c>
      <c r="AJ5" s="22">
        <v>68</v>
      </c>
      <c r="AK5" s="22">
        <v>79</v>
      </c>
      <c r="AL5" s="22">
        <v>75</v>
      </c>
      <c r="AM5" s="22">
        <v>88</v>
      </c>
      <c r="AN5" s="22">
        <v>78</v>
      </c>
      <c r="AO5" s="22">
        <v>81</v>
      </c>
      <c r="AP5" s="22">
        <v>86</v>
      </c>
      <c r="AQ5" s="22">
        <v>74</v>
      </c>
      <c r="AR5" s="3">
        <v>77</v>
      </c>
      <c r="AS5" s="3">
        <v>79</v>
      </c>
      <c r="AT5" s="3">
        <v>90</v>
      </c>
      <c r="AU5" s="3">
        <v>81</v>
      </c>
      <c r="AV5" s="3">
        <v>74</v>
      </c>
      <c r="AW5" s="3">
        <v>61</v>
      </c>
      <c r="AX5" s="3">
        <v>81</v>
      </c>
      <c r="AY5" s="3">
        <v>77</v>
      </c>
      <c r="AZ5" s="3">
        <v>76</v>
      </c>
      <c r="BA5" s="3">
        <v>80</v>
      </c>
      <c r="BB5" s="3">
        <v>70</v>
      </c>
      <c r="BC5" s="3">
        <v>75</v>
      </c>
      <c r="BD5" s="3">
        <v>80</v>
      </c>
      <c r="BE5" s="3">
        <v>77</v>
      </c>
      <c r="BF5" s="3">
        <v>63</v>
      </c>
      <c r="BG5" s="3">
        <v>54</v>
      </c>
      <c r="BH5" s="3">
        <v>82</v>
      </c>
      <c r="BI5" s="3">
        <v>68</v>
      </c>
    </row>
    <row r="6" spans="1:61" x14ac:dyDescent="0.25">
      <c r="G6" s="9"/>
      <c r="H6" s="17"/>
      <c r="P6" s="9"/>
      <c r="W6" s="9"/>
      <c r="X6" s="17"/>
      <c r="AC6" s="9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</row>
    <row r="7" spans="1:61" x14ac:dyDescent="0.25">
      <c r="B7">
        <f>(B4-50.5)/(57.1-50.5)</f>
        <v>0.37878787878787873</v>
      </c>
      <c r="C7">
        <f>(C4-50.5)/(57.1-50.5)</f>
        <v>0.46969696969696983</v>
      </c>
      <c r="D7">
        <f t="shared" ref="D7:G7" si="4">(D4-50.5)/(57.1-50.5)</f>
        <v>0.7424242424242421</v>
      </c>
      <c r="E7">
        <f t="shared" si="4"/>
        <v>-1.0151515151515154</v>
      </c>
      <c r="F7">
        <f t="shared" si="4"/>
        <v>1</v>
      </c>
      <c r="G7">
        <f t="shared" si="4"/>
        <v>0</v>
      </c>
      <c r="H7">
        <f>(H4-52.4)/(64.9-52.4)</f>
        <v>1</v>
      </c>
      <c r="I7">
        <f>(I4-52.4)/(64.9-52.4)</f>
        <v>0.35999999999999982</v>
      </c>
      <c r="J7">
        <f t="shared" ref="J7:P7" si="5">(J4-52.4)/(64.9-52.4)</f>
        <v>-0.1999999999999999</v>
      </c>
      <c r="K7">
        <f t="shared" si="5"/>
        <v>0.38400000000000012</v>
      </c>
      <c r="L7">
        <f t="shared" si="5"/>
        <v>0.46400000000000008</v>
      </c>
      <c r="M7">
        <f t="shared" si="5"/>
        <v>0.13600000000000015</v>
      </c>
      <c r="N7">
        <f t="shared" si="5"/>
        <v>9.6000000000000169E-2</v>
      </c>
      <c r="O7">
        <f t="shared" si="5"/>
        <v>6.4000000000000307E-2</v>
      </c>
      <c r="P7">
        <f t="shared" si="5"/>
        <v>0</v>
      </c>
      <c r="Q7">
        <f>(Q4-41.9)/(54-41.9)</f>
        <v>0.23140495867768626</v>
      </c>
      <c r="R7">
        <f t="shared" ref="R7:W7" si="6">(R4-41.9)/(54-41.9)</f>
        <v>0</v>
      </c>
      <c r="S7">
        <f t="shared" si="6"/>
        <v>0.66942148760330578</v>
      </c>
      <c r="T7">
        <f t="shared" si="6"/>
        <v>0.52066115702479365</v>
      </c>
      <c r="U7">
        <f t="shared" si="6"/>
        <v>0.82644628099173545</v>
      </c>
      <c r="V7">
        <f t="shared" si="6"/>
        <v>1</v>
      </c>
      <c r="W7">
        <f t="shared" si="6"/>
        <v>0.24793388429752064</v>
      </c>
      <c r="X7">
        <f t="shared" ref="X7:AC7" si="7">(X4-54)/(60.2-54)</f>
        <v>-0.45161290322580577</v>
      </c>
      <c r="Y7">
        <f>(Y4-54)/(60.2-54)</f>
        <v>0.2903225806451607</v>
      </c>
      <c r="Z7">
        <f t="shared" si="7"/>
        <v>1</v>
      </c>
      <c r="AA7">
        <f t="shared" si="7"/>
        <v>0.19354838709677458</v>
      </c>
      <c r="AB7">
        <f t="shared" si="7"/>
        <v>0</v>
      </c>
      <c r="AC7">
        <f t="shared" si="7"/>
        <v>0.54838709677419306</v>
      </c>
      <c r="AD7" s="23">
        <f t="shared" ref="AD7:AI7" si="8">(AD4-33.6)/(41.125-33.222)</f>
        <v>-1.2906491205871193</v>
      </c>
      <c r="AE7" s="23">
        <f t="shared" si="8"/>
        <v>0.84777932430722469</v>
      </c>
      <c r="AF7" s="23">
        <f t="shared" si="8"/>
        <v>0.94900670631405815</v>
      </c>
      <c r="AG7" s="23">
        <f t="shared" si="8"/>
        <v>0.44286979627989376</v>
      </c>
      <c r="AH7" s="23">
        <f t="shared" si="8"/>
        <v>0.35429583702391465</v>
      </c>
      <c r="AI7" s="23">
        <f t="shared" si="8"/>
        <v>0.94900670631405815</v>
      </c>
      <c r="AJ7" s="23">
        <f>(AJ4-33.6)/(41.125-33.222)</f>
        <v>0</v>
      </c>
      <c r="AK7" s="23">
        <f t="shared" ref="AK7:AL7" si="9">(AK4-33.6)/(41.125-33.222)</f>
        <v>0.9363532835632038</v>
      </c>
      <c r="AL7" s="23">
        <f t="shared" si="9"/>
        <v>0.18980134126281162</v>
      </c>
      <c r="AM7" s="23">
        <f t="shared" ref="AM7:AP7" si="10">(AM4-60.1)/(63.7-60.1)</f>
        <v>1</v>
      </c>
      <c r="AN7" s="23">
        <f t="shared" si="10"/>
        <v>0.72222222222222232</v>
      </c>
      <c r="AO7" s="23">
        <f t="shared" si="10"/>
        <v>0</v>
      </c>
      <c r="AP7" s="23">
        <f t="shared" si="10"/>
        <v>-1.4722222222222228</v>
      </c>
      <c r="AQ7" s="23">
        <f>(AQ4-60.1)/(63.7-60.1)</f>
        <v>0.3055555555555558</v>
      </c>
      <c r="AR7" s="23">
        <f>(AR4-50.4)/(54.8-50.4)</f>
        <v>1</v>
      </c>
      <c r="AS7" s="23">
        <f t="shared" ref="AS7:AW7" si="11">(AS4-50.4)/(54.8-50.4)</f>
        <v>0.72727272727272818</v>
      </c>
      <c r="AT7" s="23">
        <f t="shared" si="11"/>
        <v>0.38636363636363713</v>
      </c>
      <c r="AU7" s="23">
        <f t="shared" si="11"/>
        <v>0</v>
      </c>
      <c r="AV7" s="23">
        <f t="shared" si="11"/>
        <v>0.77272727272727271</v>
      </c>
      <c r="AW7" s="23">
        <f t="shared" si="11"/>
        <v>-0.70454545454545514</v>
      </c>
      <c r="AX7" s="23">
        <f>(AX4-46.3)/(58-46.3)</f>
        <v>5.9829059829060061E-2</v>
      </c>
      <c r="AY7" s="23">
        <f t="shared" ref="AY7:BC7" si="12">(AY4-46.3)/(58-46.3)</f>
        <v>0.25641025641025633</v>
      </c>
      <c r="AZ7" s="23">
        <f t="shared" si="12"/>
        <v>0.18803418803418823</v>
      </c>
      <c r="BA7" s="23">
        <f t="shared" si="12"/>
        <v>1</v>
      </c>
      <c r="BB7" s="23">
        <f t="shared" si="12"/>
        <v>8.5470085470086658E-3</v>
      </c>
      <c r="BC7" s="23">
        <f t="shared" si="12"/>
        <v>0</v>
      </c>
      <c r="BD7" s="23">
        <f>(BD4-48)/(56-48)</f>
        <v>0.125</v>
      </c>
      <c r="BE7" s="23">
        <f t="shared" ref="BE7:BI7" si="13">(BE4-48)/(56-48)</f>
        <v>1</v>
      </c>
      <c r="BF7" s="23">
        <f t="shared" si="13"/>
        <v>-1.2874999999999996</v>
      </c>
      <c r="BG7" s="23">
        <f t="shared" si="13"/>
        <v>-1.4874999999999998</v>
      </c>
      <c r="BH7" s="23">
        <f t="shared" si="13"/>
        <v>0.84999999999999964</v>
      </c>
      <c r="BI7" s="23">
        <f t="shared" si="13"/>
        <v>0.42499999999999982</v>
      </c>
    </row>
    <row r="8" spans="1:61" x14ac:dyDescent="0.25">
      <c r="B8" s="10">
        <f t="shared" ref="B8:AC8" si="14">B7*3400 + 600</f>
        <v>1887.8787878787878</v>
      </c>
      <c r="C8" s="10">
        <f t="shared" si="14"/>
        <v>2196.9696969696975</v>
      </c>
      <c r="D8" s="10">
        <f t="shared" si="14"/>
        <v>3124.2424242424231</v>
      </c>
      <c r="E8" s="10">
        <f t="shared" si="14"/>
        <v>-2851.5151515151524</v>
      </c>
      <c r="F8" s="10">
        <f t="shared" si="14"/>
        <v>4000</v>
      </c>
      <c r="G8" s="11">
        <f t="shared" si="14"/>
        <v>600</v>
      </c>
      <c r="H8" s="18">
        <f t="shared" si="14"/>
        <v>4000</v>
      </c>
      <c r="I8" s="10">
        <f t="shared" si="14"/>
        <v>1823.9999999999993</v>
      </c>
      <c r="J8" s="10">
        <f t="shared" si="14"/>
        <v>-79.999999999999659</v>
      </c>
      <c r="K8" s="10">
        <f t="shared" si="14"/>
        <v>1905.6000000000004</v>
      </c>
      <c r="L8" s="10">
        <f t="shared" si="14"/>
        <v>2177.6000000000004</v>
      </c>
      <c r="M8" s="10">
        <f t="shared" si="14"/>
        <v>1062.4000000000005</v>
      </c>
      <c r="N8" s="10">
        <f t="shared" si="14"/>
        <v>926.40000000000055</v>
      </c>
      <c r="O8" s="10">
        <f t="shared" si="14"/>
        <v>817.60000000000105</v>
      </c>
      <c r="P8" s="11">
        <f t="shared" si="14"/>
        <v>600</v>
      </c>
      <c r="Q8" s="10">
        <f t="shared" si="14"/>
        <v>1386.7768595041334</v>
      </c>
      <c r="R8" s="10">
        <f t="shared" ref="R8" si="15">R7*3400 + 600</f>
        <v>600</v>
      </c>
      <c r="S8" s="10">
        <f t="shared" ref="S8" si="16">S7*3400 + 600</f>
        <v>2876.0330578512398</v>
      </c>
      <c r="T8" s="10">
        <f t="shared" ref="T8" si="17">T7*3400 + 600</f>
        <v>2370.2479338842986</v>
      </c>
      <c r="U8" s="10">
        <f t="shared" ref="U8" si="18">U7*3400 + 600</f>
        <v>3409.9173553719006</v>
      </c>
      <c r="V8" s="10">
        <f t="shared" ref="V8" si="19">V7*3400 + 600</f>
        <v>4000</v>
      </c>
      <c r="W8" s="10">
        <f t="shared" ref="W8" si="20">W7*3400 + 600</f>
        <v>1442.9752066115702</v>
      </c>
      <c r="X8" s="18">
        <f t="shared" si="14"/>
        <v>-935.48387096773968</v>
      </c>
      <c r="Y8" s="10">
        <f t="shared" si="14"/>
        <v>1587.0967741935465</v>
      </c>
      <c r="Z8" s="10">
        <f t="shared" si="14"/>
        <v>4000</v>
      </c>
      <c r="AA8" s="10">
        <f t="shared" si="14"/>
        <v>1258.0645161290336</v>
      </c>
      <c r="AB8" s="10">
        <f t="shared" si="14"/>
        <v>600</v>
      </c>
      <c r="AC8" s="11">
        <f t="shared" si="14"/>
        <v>2464.5161290322567</v>
      </c>
      <c r="AD8" s="24">
        <f>AD7*3400 + 600</f>
        <v>-3788.2070099962057</v>
      </c>
      <c r="AE8" s="24">
        <f t="shared" ref="AE8:AM8" si="21">AE7*3400 + 600</f>
        <v>3482.4497026445638</v>
      </c>
      <c r="AF8" s="24">
        <f t="shared" si="21"/>
        <v>3826.6228014677977</v>
      </c>
      <c r="AG8" s="24">
        <f t="shared" si="21"/>
        <v>2105.7573073516387</v>
      </c>
      <c r="AH8" s="24">
        <f t="shared" si="21"/>
        <v>1804.6058458813097</v>
      </c>
      <c r="AI8" s="24">
        <f t="shared" si="21"/>
        <v>3826.6228014677977</v>
      </c>
      <c r="AJ8" s="24">
        <f t="shared" si="21"/>
        <v>600</v>
      </c>
      <c r="AK8" s="24">
        <f t="shared" si="21"/>
        <v>3783.601164114893</v>
      </c>
      <c r="AL8" s="24">
        <f t="shared" si="21"/>
        <v>1245.3245602935594</v>
      </c>
      <c r="AM8" s="24">
        <f t="shared" si="21"/>
        <v>4000</v>
      </c>
      <c r="AN8" s="24">
        <f t="shared" ref="AN8" si="22">AN7*3400 + 600</f>
        <v>3055.5555555555561</v>
      </c>
      <c r="AO8" s="24">
        <f t="shared" ref="AO8" si="23">AO7*3400 + 600</f>
        <v>600</v>
      </c>
      <c r="AP8" s="24">
        <f t="shared" ref="AP8" si="24">AP7*3400 + 600</f>
        <v>-4405.5555555555575</v>
      </c>
      <c r="AQ8" s="24">
        <f t="shared" ref="AQ8:AR8" si="25">AQ7*3400 + 600</f>
        <v>1638.8888888888898</v>
      </c>
      <c r="AR8" s="24">
        <f t="shared" si="25"/>
        <v>4000</v>
      </c>
      <c r="AS8" s="24">
        <f t="shared" ref="AS8" si="26">AS7*3400 + 600</f>
        <v>3072.7272727272757</v>
      </c>
      <c r="AT8" s="24">
        <f t="shared" ref="AT8" si="27">AT7*3400 + 600</f>
        <v>1913.6363636363662</v>
      </c>
      <c r="AU8" s="24">
        <f t="shared" ref="AU8" si="28">AU7*3400 + 600</f>
        <v>600</v>
      </c>
      <c r="AV8" s="24">
        <f t="shared" ref="AV8" si="29">AV7*3400 + 600</f>
        <v>3227.272727272727</v>
      </c>
      <c r="AW8" s="24">
        <f t="shared" ref="AW8:BI8" si="30">AW7*3400 + 600</f>
        <v>-1795.4545454545473</v>
      </c>
      <c r="AX8" s="24">
        <f t="shared" si="30"/>
        <v>803.41880341880415</v>
      </c>
      <c r="AY8" s="24">
        <f t="shared" si="30"/>
        <v>1471.7948717948716</v>
      </c>
      <c r="AZ8" s="24">
        <f t="shared" si="30"/>
        <v>1239.3162393162399</v>
      </c>
      <c r="BA8" s="24">
        <f t="shared" si="30"/>
        <v>4000</v>
      </c>
      <c r="BB8" s="24">
        <f t="shared" si="30"/>
        <v>629.05982905982944</v>
      </c>
      <c r="BC8" s="24">
        <f t="shared" si="30"/>
        <v>600</v>
      </c>
      <c r="BD8" s="24">
        <f t="shared" si="30"/>
        <v>1025</v>
      </c>
      <c r="BE8" s="24">
        <f t="shared" si="30"/>
        <v>4000</v>
      </c>
      <c r="BF8" s="24">
        <f t="shared" si="30"/>
        <v>-3777.4999999999991</v>
      </c>
      <c r="BG8" s="24">
        <f t="shared" si="30"/>
        <v>-4457.4999999999991</v>
      </c>
      <c r="BH8" s="24">
        <f t="shared" si="30"/>
        <v>3489.9999999999986</v>
      </c>
      <c r="BI8" s="24">
        <f t="shared" si="30"/>
        <v>2044.9999999999993</v>
      </c>
    </row>
    <row r="9" spans="1:61" x14ac:dyDescent="0.25">
      <c r="A9" s="4"/>
      <c r="B9" s="12">
        <f>(B5-72)/(82-72)</f>
        <v>0</v>
      </c>
      <c r="C9" s="12">
        <f t="shared" ref="C9:G9" si="31">(C5-72)/(82-72)</f>
        <v>0.4</v>
      </c>
      <c r="D9" s="12">
        <f t="shared" si="31"/>
        <v>1</v>
      </c>
      <c r="E9" s="12">
        <f t="shared" si="31"/>
        <v>0.2</v>
      </c>
      <c r="F9" s="12">
        <f t="shared" si="31"/>
        <v>0.9</v>
      </c>
      <c r="G9" s="13">
        <f t="shared" si="31"/>
        <v>0.8</v>
      </c>
      <c r="H9">
        <f>(H5-71)/(90-71)</f>
        <v>1</v>
      </c>
      <c r="I9">
        <f t="shared" ref="I9:P9" si="32">(I5-71)/(90-71)</f>
        <v>1</v>
      </c>
      <c r="J9">
        <f t="shared" si="32"/>
        <v>0.42105263157894735</v>
      </c>
      <c r="K9">
        <f t="shared" si="32"/>
        <v>0.63157894736842102</v>
      </c>
      <c r="L9">
        <f t="shared" si="32"/>
        <v>0.42105263157894735</v>
      </c>
      <c r="M9">
        <f t="shared" si="32"/>
        <v>0.21052631578947367</v>
      </c>
      <c r="N9">
        <f t="shared" si="32"/>
        <v>0.15789473684210525</v>
      </c>
      <c r="O9">
        <f t="shared" si="32"/>
        <v>0.26315789473684209</v>
      </c>
      <c r="P9">
        <f t="shared" si="32"/>
        <v>0</v>
      </c>
      <c r="Q9">
        <f>(Q5-74)/(90-74)</f>
        <v>1</v>
      </c>
      <c r="R9">
        <f t="shared" ref="R9:W9" si="33">(R5-74)/(90-74)</f>
        <v>6.25E-2</v>
      </c>
      <c r="S9">
        <f t="shared" si="33"/>
        <v>0.6875</v>
      </c>
      <c r="T9">
        <f t="shared" si="33"/>
        <v>0.4375</v>
      </c>
      <c r="U9">
        <f t="shared" si="33"/>
        <v>0.6875</v>
      </c>
      <c r="V9">
        <f t="shared" si="33"/>
        <v>0.4375</v>
      </c>
      <c r="W9">
        <f t="shared" si="33"/>
        <v>0</v>
      </c>
      <c r="X9">
        <f>(X5-74)/(90-74)</f>
        <v>0.375</v>
      </c>
      <c r="Y9">
        <f t="shared" ref="Y9:AC9" si="34">(Y5-74)/(90-74)</f>
        <v>1</v>
      </c>
      <c r="Z9">
        <f t="shared" si="34"/>
        <v>1</v>
      </c>
      <c r="AA9">
        <f t="shared" si="34"/>
        <v>0.125</v>
      </c>
      <c r="AB9">
        <f t="shared" si="34"/>
        <v>0.3125</v>
      </c>
      <c r="AC9">
        <f t="shared" si="34"/>
        <v>0</v>
      </c>
      <c r="AD9" s="25">
        <f>(AD5-68)/(80-68)</f>
        <v>-1.5</v>
      </c>
      <c r="AE9" s="26">
        <f t="shared" ref="AE9:AL9" si="35">(AE5-68)/(80-68)</f>
        <v>0.16666666666666666</v>
      </c>
      <c r="AF9" s="26">
        <f t="shared" si="35"/>
        <v>0.33333333333333331</v>
      </c>
      <c r="AG9" s="26">
        <f t="shared" si="35"/>
        <v>1</v>
      </c>
      <c r="AH9" s="26">
        <f t="shared" si="35"/>
        <v>0.58333333333333337</v>
      </c>
      <c r="AI9" s="26">
        <f t="shared" si="35"/>
        <v>0.33333333333333331</v>
      </c>
      <c r="AJ9" s="26">
        <f t="shared" si="35"/>
        <v>0</v>
      </c>
      <c r="AK9" s="26">
        <f t="shared" si="35"/>
        <v>0.91666666666666663</v>
      </c>
      <c r="AL9" s="26">
        <f t="shared" si="35"/>
        <v>0.58333333333333337</v>
      </c>
      <c r="AM9" s="26">
        <f>(AM5-74)/(88-74)</f>
        <v>1</v>
      </c>
      <c r="AN9" s="26">
        <f t="shared" ref="AN9:AQ9" si="36">(AN5-74)/(88-74)</f>
        <v>0.2857142857142857</v>
      </c>
      <c r="AO9" s="26">
        <f t="shared" si="36"/>
        <v>0.5</v>
      </c>
      <c r="AP9" s="26">
        <f t="shared" si="36"/>
        <v>0.8571428571428571</v>
      </c>
      <c r="AQ9" s="26">
        <f t="shared" si="36"/>
        <v>0</v>
      </c>
      <c r="AR9" s="26">
        <f>(AR5-74)/(90-74)</f>
        <v>0.1875</v>
      </c>
      <c r="AS9" s="26">
        <f t="shared" ref="AS9:AW9" si="37">(AS5-74)/(90-74)</f>
        <v>0.3125</v>
      </c>
      <c r="AT9" s="26">
        <f t="shared" si="37"/>
        <v>1</v>
      </c>
      <c r="AU9" s="26">
        <f t="shared" si="37"/>
        <v>0.4375</v>
      </c>
      <c r="AV9" s="26">
        <f t="shared" si="37"/>
        <v>0</v>
      </c>
      <c r="AW9" s="26">
        <f t="shared" si="37"/>
        <v>-0.8125</v>
      </c>
      <c r="AX9" s="26">
        <f>(AX5-70)/(81-70)</f>
        <v>1</v>
      </c>
      <c r="AY9" s="26">
        <f t="shared" ref="AY9:BC9" si="38">(AY5-70)/(81-70)</f>
        <v>0.63636363636363635</v>
      </c>
      <c r="AZ9" s="26">
        <f t="shared" si="38"/>
        <v>0.54545454545454541</v>
      </c>
      <c r="BA9" s="26">
        <f t="shared" si="38"/>
        <v>0.90909090909090906</v>
      </c>
      <c r="BB9" s="26">
        <f t="shared" si="38"/>
        <v>0</v>
      </c>
      <c r="BC9" s="26">
        <f t="shared" si="38"/>
        <v>0.45454545454545453</v>
      </c>
      <c r="BD9" s="26">
        <f>(BD5-63)/(82-63)</f>
        <v>0.89473684210526316</v>
      </c>
      <c r="BE9" s="26">
        <f t="shared" ref="BE9:BI9" si="39">(BE5-63)/(82-63)</f>
        <v>0.73684210526315785</v>
      </c>
      <c r="BF9" s="26">
        <f t="shared" si="39"/>
        <v>0</v>
      </c>
      <c r="BG9" s="26">
        <f t="shared" si="39"/>
        <v>-0.47368421052631576</v>
      </c>
      <c r="BH9" s="26">
        <f t="shared" si="39"/>
        <v>1</v>
      </c>
      <c r="BI9" s="26">
        <f t="shared" si="39"/>
        <v>0.26315789473684209</v>
      </c>
    </row>
    <row r="10" spans="1:61" x14ac:dyDescent="0.25">
      <c r="A10" s="4"/>
      <c r="B10" s="10">
        <f t="shared" ref="B10:AC10" si="40">B9*3400 + 600</f>
        <v>600</v>
      </c>
      <c r="C10" s="10">
        <f t="shared" ref="C10" si="41">C9*3400 + 600</f>
        <v>1960</v>
      </c>
      <c r="D10" s="10">
        <f t="shared" ref="D10" si="42">D9*3400 + 600</f>
        <v>4000</v>
      </c>
      <c r="E10" s="10">
        <f t="shared" ref="E10" si="43">E9*3400 + 600</f>
        <v>1280</v>
      </c>
      <c r="F10" s="10">
        <f t="shared" ref="F10" si="44">F9*3400 + 600</f>
        <v>3660</v>
      </c>
      <c r="G10" s="10">
        <f t="shared" ref="G10" si="45">G9*3400 + 600</f>
        <v>3320</v>
      </c>
      <c r="H10" s="18">
        <f t="shared" si="40"/>
        <v>4000</v>
      </c>
      <c r="I10" s="10">
        <f t="shared" si="40"/>
        <v>4000</v>
      </c>
      <c r="J10" s="10">
        <f t="shared" si="40"/>
        <v>2031.578947368421</v>
      </c>
      <c r="K10" s="10">
        <f t="shared" si="40"/>
        <v>2747.3684210526317</v>
      </c>
      <c r="L10" s="10">
        <f t="shared" si="40"/>
        <v>2031.578947368421</v>
      </c>
      <c r="M10" s="10">
        <f t="shared" si="40"/>
        <v>1315.7894736842104</v>
      </c>
      <c r="N10" s="10">
        <f t="shared" si="40"/>
        <v>1136.8421052631579</v>
      </c>
      <c r="O10" s="10">
        <f t="shared" si="40"/>
        <v>1494.7368421052631</v>
      </c>
      <c r="P10" s="11">
        <f t="shared" si="40"/>
        <v>600</v>
      </c>
      <c r="Q10" s="10">
        <f t="shared" si="40"/>
        <v>4000</v>
      </c>
      <c r="R10" s="10">
        <f t="shared" ref="R10" si="46">R9*3400 + 600</f>
        <v>812.5</v>
      </c>
      <c r="S10" s="10">
        <f t="shared" ref="S10" si="47">S9*3400 + 600</f>
        <v>2937.5</v>
      </c>
      <c r="T10" s="10">
        <f t="shared" ref="T10" si="48">T9*3400 + 600</f>
        <v>2087.5</v>
      </c>
      <c r="U10" s="10">
        <f t="shared" ref="U10" si="49">U9*3400 + 600</f>
        <v>2937.5</v>
      </c>
      <c r="V10" s="10">
        <f t="shared" ref="V10" si="50">V9*3400 + 600</f>
        <v>2087.5</v>
      </c>
      <c r="W10" s="10">
        <f t="shared" ref="W10" si="51">W9*3400 + 600</f>
        <v>600</v>
      </c>
      <c r="X10" s="10">
        <f t="shared" si="40"/>
        <v>1875</v>
      </c>
      <c r="Y10" s="10">
        <f t="shared" si="40"/>
        <v>4000</v>
      </c>
      <c r="Z10" s="10">
        <f t="shared" si="40"/>
        <v>4000</v>
      </c>
      <c r="AA10" s="10">
        <f t="shared" si="40"/>
        <v>1025</v>
      </c>
      <c r="AB10" s="10">
        <f t="shared" si="40"/>
        <v>1662.5</v>
      </c>
      <c r="AC10" s="11">
        <f t="shared" si="40"/>
        <v>600</v>
      </c>
      <c r="AD10" s="24">
        <f>AD9*3400 + 600</f>
        <v>-4500</v>
      </c>
      <c r="AE10" s="24">
        <f t="shared" ref="AE10:AM10" si="52">AE9*3400 + 600</f>
        <v>1166.6666666666665</v>
      </c>
      <c r="AF10" s="24">
        <f t="shared" si="52"/>
        <v>1733.3333333333333</v>
      </c>
      <c r="AG10" s="24">
        <f t="shared" si="52"/>
        <v>4000</v>
      </c>
      <c r="AH10" s="24">
        <f t="shared" si="52"/>
        <v>2583.3333333333335</v>
      </c>
      <c r="AI10" s="24">
        <f t="shared" si="52"/>
        <v>1733.3333333333333</v>
      </c>
      <c r="AJ10" s="24">
        <f t="shared" si="52"/>
        <v>600</v>
      </c>
      <c r="AK10" s="24">
        <f t="shared" si="52"/>
        <v>3716.6666666666665</v>
      </c>
      <c r="AL10" s="24">
        <f t="shared" si="52"/>
        <v>2583.3333333333335</v>
      </c>
      <c r="AM10" s="24">
        <f t="shared" si="52"/>
        <v>4000</v>
      </c>
      <c r="AN10" s="24">
        <f t="shared" ref="AN10" si="53">AN9*3400 + 600</f>
        <v>1571.4285714285713</v>
      </c>
      <c r="AO10" s="24">
        <f t="shared" ref="AO10" si="54">AO9*3400 + 600</f>
        <v>2300</v>
      </c>
      <c r="AP10" s="24">
        <f t="shared" ref="AP10" si="55">AP9*3400 + 600</f>
        <v>3514.2857142857142</v>
      </c>
      <c r="AQ10" s="24">
        <f t="shared" ref="AQ10:AR10" si="56">AQ9*3400 + 600</f>
        <v>600</v>
      </c>
      <c r="AR10" s="24">
        <f t="shared" si="56"/>
        <v>1237.5</v>
      </c>
      <c r="AS10" s="24">
        <f t="shared" ref="AS10" si="57">AS9*3400 + 600</f>
        <v>1662.5</v>
      </c>
      <c r="AT10" s="24">
        <f t="shared" ref="AT10" si="58">AT9*3400 + 600</f>
        <v>4000</v>
      </c>
      <c r="AU10" s="24">
        <f t="shared" ref="AU10" si="59">AU9*3400 + 600</f>
        <v>2087.5</v>
      </c>
      <c r="AV10" s="24">
        <f t="shared" ref="AV10" si="60">AV9*3400 + 600</f>
        <v>600</v>
      </c>
      <c r="AW10" s="24">
        <f t="shared" ref="AW10:BI10" si="61">AW9*3400 + 600</f>
        <v>-2162.5</v>
      </c>
      <c r="AX10" s="24">
        <f t="shared" si="61"/>
        <v>4000</v>
      </c>
      <c r="AY10" s="24">
        <f t="shared" si="61"/>
        <v>2763.6363636363635</v>
      </c>
      <c r="AZ10" s="24">
        <f t="shared" si="61"/>
        <v>2454.5454545454545</v>
      </c>
      <c r="BA10" s="24">
        <f t="shared" si="61"/>
        <v>3690.909090909091</v>
      </c>
      <c r="BB10" s="24">
        <f t="shared" si="61"/>
        <v>600</v>
      </c>
      <c r="BC10" s="24">
        <f t="shared" si="61"/>
        <v>2145.4545454545455</v>
      </c>
      <c r="BD10" s="24">
        <f t="shared" si="61"/>
        <v>3642.1052631578946</v>
      </c>
      <c r="BE10" s="24">
        <f t="shared" si="61"/>
        <v>3105.2631578947367</v>
      </c>
      <c r="BF10" s="24">
        <f t="shared" si="61"/>
        <v>600</v>
      </c>
      <c r="BG10" s="24">
        <f t="shared" si="61"/>
        <v>-1010.5263157894735</v>
      </c>
      <c r="BH10" s="24">
        <f t="shared" si="61"/>
        <v>4000</v>
      </c>
      <c r="BI10" s="24">
        <f t="shared" si="61"/>
        <v>1494.7368421052631</v>
      </c>
    </row>
    <row r="11" spans="1:61" x14ac:dyDescent="0.25">
      <c r="A11" s="4"/>
      <c r="B11" s="12">
        <f t="shared" ref="B11:AC11" si="62">(B8+B10)/2</f>
        <v>1243.939393939394</v>
      </c>
      <c r="C11" s="12">
        <f t="shared" si="62"/>
        <v>2078.484848484849</v>
      </c>
      <c r="D11" s="12">
        <f t="shared" si="62"/>
        <v>3562.1212121212116</v>
      </c>
      <c r="E11" s="12">
        <f t="shared" si="62"/>
        <v>-785.75757575757621</v>
      </c>
      <c r="F11" s="12">
        <f t="shared" si="62"/>
        <v>3830</v>
      </c>
      <c r="G11" s="13">
        <f t="shared" si="62"/>
        <v>1960</v>
      </c>
      <c r="H11" s="19">
        <f t="shared" si="62"/>
        <v>4000</v>
      </c>
      <c r="I11" s="12">
        <f t="shared" si="62"/>
        <v>2911.9999999999995</v>
      </c>
      <c r="J11" s="12">
        <f t="shared" si="62"/>
        <v>975.78947368421063</v>
      </c>
      <c r="K11" s="12">
        <f t="shared" si="62"/>
        <v>2326.484210526316</v>
      </c>
      <c r="L11" s="12">
        <f t="shared" si="62"/>
        <v>2104.5894736842106</v>
      </c>
      <c r="M11" s="12">
        <f t="shared" si="62"/>
        <v>1189.0947368421055</v>
      </c>
      <c r="N11" s="12">
        <f t="shared" si="62"/>
        <v>1031.6210526315792</v>
      </c>
      <c r="O11" s="12">
        <f t="shared" si="62"/>
        <v>1156.1684210526321</v>
      </c>
      <c r="P11" s="13">
        <f t="shared" si="62"/>
        <v>600</v>
      </c>
      <c r="Q11" s="12">
        <f t="shared" si="62"/>
        <v>2693.3884297520667</v>
      </c>
      <c r="R11" s="12">
        <f t="shared" ref="R11" si="63">(R8+R10)/2</f>
        <v>706.25</v>
      </c>
      <c r="S11" s="12">
        <f t="shared" ref="S11" si="64">(S8+S10)/2</f>
        <v>2906.7665289256202</v>
      </c>
      <c r="T11" s="12">
        <f t="shared" ref="T11" si="65">(T8+T10)/2</f>
        <v>2228.8739669421493</v>
      </c>
      <c r="U11" s="12">
        <f t="shared" ref="U11" si="66">(U8+U10)/2</f>
        <v>3173.7086776859505</v>
      </c>
      <c r="V11" s="12">
        <f t="shared" ref="V11" si="67">(V8+V10)/2</f>
        <v>3043.75</v>
      </c>
      <c r="W11" s="12">
        <f t="shared" ref="W11" si="68">(W8+W10)/2</f>
        <v>1021.4876033057851</v>
      </c>
      <c r="X11">
        <f t="shared" si="62"/>
        <v>469.75806451613016</v>
      </c>
      <c r="Y11" s="12">
        <f t="shared" si="62"/>
        <v>2793.5483870967732</v>
      </c>
      <c r="Z11" s="12">
        <f t="shared" si="62"/>
        <v>4000</v>
      </c>
      <c r="AA11" s="12">
        <f t="shared" si="62"/>
        <v>1141.5322580645168</v>
      </c>
      <c r="AB11" s="12">
        <f t="shared" si="62"/>
        <v>1131.25</v>
      </c>
      <c r="AC11" s="13">
        <f t="shared" si="62"/>
        <v>1532.2580645161283</v>
      </c>
      <c r="AD11" s="25">
        <f>(AD8+AD10)/2</f>
        <v>-4144.1035049981028</v>
      </c>
      <c r="AE11" s="25">
        <f t="shared" ref="AE11:AM11" si="69">(AE8+AE10)/2</f>
        <v>2324.5581846556152</v>
      </c>
      <c r="AF11" s="25">
        <f t="shared" si="69"/>
        <v>2779.9780674005656</v>
      </c>
      <c r="AG11" s="25">
        <f t="shared" si="69"/>
        <v>3052.8786536758194</v>
      </c>
      <c r="AH11" s="25">
        <f t="shared" si="69"/>
        <v>2193.9695896073217</v>
      </c>
      <c r="AI11" s="25">
        <f t="shared" si="69"/>
        <v>2779.9780674005656</v>
      </c>
      <c r="AJ11" s="25">
        <f t="shared" si="69"/>
        <v>600</v>
      </c>
      <c r="AK11" s="25">
        <f t="shared" si="69"/>
        <v>3750.1339153907797</v>
      </c>
      <c r="AL11" s="25">
        <f t="shared" si="69"/>
        <v>1914.3289468134465</v>
      </c>
      <c r="AM11" s="25">
        <f t="shared" si="69"/>
        <v>4000</v>
      </c>
      <c r="AN11" s="25">
        <f t="shared" ref="AN11" si="70">(AN8+AN10)/2</f>
        <v>2313.4920634920636</v>
      </c>
      <c r="AO11" s="25">
        <f t="shared" ref="AO11" si="71">(AO8+AO10)/2</f>
        <v>1450</v>
      </c>
      <c r="AP11" s="25">
        <f t="shared" ref="AP11" si="72">(AP8+AP10)/2</f>
        <v>-445.63492063492163</v>
      </c>
      <c r="AQ11" s="25">
        <f t="shared" ref="AQ11:AR11" si="73">(AQ8+AQ10)/2</f>
        <v>1119.4444444444448</v>
      </c>
      <c r="AR11" s="25">
        <f t="shared" si="73"/>
        <v>2618.75</v>
      </c>
      <c r="AS11" s="25">
        <f t="shared" ref="AS11" si="74">(AS8+AS10)/2</f>
        <v>2367.6136363636379</v>
      </c>
      <c r="AT11" s="25">
        <f t="shared" ref="AT11" si="75">(AT8+AT10)/2</f>
        <v>2956.8181818181829</v>
      </c>
      <c r="AU11" s="25">
        <f t="shared" ref="AU11" si="76">(AU8+AU10)/2</f>
        <v>1343.75</v>
      </c>
      <c r="AV11" s="25">
        <f t="shared" ref="AV11" si="77">(AV8+AV10)/2</f>
        <v>1913.6363636363635</v>
      </c>
      <c r="AW11" s="25">
        <f t="shared" ref="AW11:BC11" si="78">(AW8+AW10)/2</f>
        <v>-1978.9772727272737</v>
      </c>
      <c r="AX11" s="25">
        <f t="shared" si="78"/>
        <v>2401.7094017094023</v>
      </c>
      <c r="AY11" s="25">
        <f t="shared" si="78"/>
        <v>2117.7156177156176</v>
      </c>
      <c r="AZ11" s="25">
        <f t="shared" si="78"/>
        <v>1846.9308469308471</v>
      </c>
      <c r="BA11" s="25">
        <f t="shared" si="78"/>
        <v>3845.4545454545455</v>
      </c>
      <c r="BB11" s="25">
        <f t="shared" si="78"/>
        <v>614.52991452991478</v>
      </c>
      <c r="BC11" s="25">
        <f t="shared" si="78"/>
        <v>1372.7272727272727</v>
      </c>
      <c r="BD11" s="25">
        <f t="shared" ref="BD11:BI11" si="79">(BD8+BD10)/2</f>
        <v>2333.5526315789475</v>
      </c>
      <c r="BE11" s="25">
        <f t="shared" si="79"/>
        <v>3552.6315789473683</v>
      </c>
      <c r="BF11" s="25">
        <f t="shared" si="79"/>
        <v>-1588.7499999999995</v>
      </c>
      <c r="BG11" s="25">
        <f t="shared" si="79"/>
        <v>-2734.0131578947362</v>
      </c>
      <c r="BH11" s="25">
        <f t="shared" si="79"/>
        <v>3744.9999999999991</v>
      </c>
      <c r="BI11" s="25">
        <f t="shared" si="79"/>
        <v>1769.8684210526312</v>
      </c>
    </row>
    <row r="12" spans="1:61" x14ac:dyDescent="0.25">
      <c r="B12" s="12">
        <f t="shared" ref="B12:AC12" si="80">IF(B11&gt;599, B11, 500)</f>
        <v>1243.939393939394</v>
      </c>
      <c r="C12" s="12">
        <f t="shared" si="80"/>
        <v>2078.484848484849</v>
      </c>
      <c r="D12" s="12">
        <f t="shared" si="80"/>
        <v>3562.1212121212116</v>
      </c>
      <c r="E12" s="12">
        <f>IF(E11&gt;599, E11, 600)</f>
        <v>600</v>
      </c>
      <c r="F12" s="12">
        <f t="shared" si="80"/>
        <v>3830</v>
      </c>
      <c r="G12" s="13">
        <f t="shared" si="80"/>
        <v>1960</v>
      </c>
      <c r="H12" s="19">
        <f t="shared" si="80"/>
        <v>4000</v>
      </c>
      <c r="I12" s="12">
        <f t="shared" si="80"/>
        <v>2911.9999999999995</v>
      </c>
      <c r="J12" s="12">
        <f t="shared" si="80"/>
        <v>975.78947368421063</v>
      </c>
      <c r="K12" s="12">
        <f t="shared" si="80"/>
        <v>2326.484210526316</v>
      </c>
      <c r="L12" s="12">
        <f t="shared" si="80"/>
        <v>2104.5894736842106</v>
      </c>
      <c r="M12" s="12">
        <f t="shared" si="80"/>
        <v>1189.0947368421055</v>
      </c>
      <c r="N12" s="12">
        <f t="shared" si="80"/>
        <v>1031.6210526315792</v>
      </c>
      <c r="O12" s="12">
        <f t="shared" si="80"/>
        <v>1156.1684210526321</v>
      </c>
      <c r="P12" s="13">
        <f t="shared" si="80"/>
        <v>600</v>
      </c>
      <c r="Q12" s="12">
        <f t="shared" si="80"/>
        <v>2693.3884297520667</v>
      </c>
      <c r="R12" s="12">
        <f t="shared" ref="R12" si="81">IF(R11&gt;599, R11, 500)</f>
        <v>706.25</v>
      </c>
      <c r="S12" s="12">
        <f t="shared" ref="S12" si="82">IF(S11&gt;599, S11, 500)</f>
        <v>2906.7665289256202</v>
      </c>
      <c r="T12" s="12">
        <f t="shared" ref="T12" si="83">IF(T11&gt;599, T11, 500)</f>
        <v>2228.8739669421493</v>
      </c>
      <c r="U12" s="12">
        <f t="shared" ref="U12" si="84">IF(U11&gt;599, U11, 500)</f>
        <v>3173.7086776859505</v>
      </c>
      <c r="V12" s="12">
        <f t="shared" ref="V12" si="85">IF(V11&gt;599, V11, 500)</f>
        <v>3043.75</v>
      </c>
      <c r="W12" s="12">
        <f t="shared" ref="W12" si="86">IF(W11&gt;599, W11, 500)</f>
        <v>1021.4876033057851</v>
      </c>
      <c r="X12" s="19">
        <f>IF(X11&gt;599, X11, 600)</f>
        <v>600</v>
      </c>
      <c r="Y12" s="12">
        <f t="shared" si="80"/>
        <v>2793.5483870967732</v>
      </c>
      <c r="Z12" s="12">
        <f t="shared" si="80"/>
        <v>4000</v>
      </c>
      <c r="AA12" s="12">
        <f t="shared" si="80"/>
        <v>1141.5322580645168</v>
      </c>
      <c r="AB12" s="12">
        <f t="shared" si="80"/>
        <v>1131.25</v>
      </c>
      <c r="AC12" s="13">
        <f t="shared" si="80"/>
        <v>1532.2580645161283</v>
      </c>
      <c r="AD12" s="25">
        <f>IF(AD11&gt;599, AD11, 500)</f>
        <v>500</v>
      </c>
      <c r="AE12" s="25">
        <f t="shared" ref="AE12:AM12" si="87">IF(AE11&gt;599, AE11, 500)</f>
        <v>2324.5581846556152</v>
      </c>
      <c r="AF12" s="25">
        <f t="shared" si="87"/>
        <v>2779.9780674005656</v>
      </c>
      <c r="AG12" s="25">
        <f t="shared" si="87"/>
        <v>3052.8786536758194</v>
      </c>
      <c r="AH12" s="25">
        <f t="shared" si="87"/>
        <v>2193.9695896073217</v>
      </c>
      <c r="AI12" s="25">
        <f t="shared" si="87"/>
        <v>2779.9780674005656</v>
      </c>
      <c r="AJ12" s="25">
        <f t="shared" si="87"/>
        <v>600</v>
      </c>
      <c r="AK12" s="25">
        <f t="shared" si="87"/>
        <v>3750.1339153907797</v>
      </c>
      <c r="AL12" s="25">
        <f t="shared" si="87"/>
        <v>1914.3289468134465</v>
      </c>
      <c r="AM12" s="25">
        <f t="shared" si="87"/>
        <v>4000</v>
      </c>
      <c r="AN12" s="25">
        <f t="shared" ref="AN12" si="88">IF(AN11&gt;599, AN11, 500)</f>
        <v>2313.4920634920636</v>
      </c>
      <c r="AO12" s="25">
        <f t="shared" ref="AO12" si="89">IF(AO11&gt;599, AO11, 500)</f>
        <v>1450</v>
      </c>
      <c r="AP12" s="25">
        <f>IF(AP11&gt;599, AP11, 600)</f>
        <v>600</v>
      </c>
      <c r="AQ12" s="25">
        <f t="shared" ref="AQ12:AR12" si="90">IF(AQ11&gt;599, AQ11, 500)</f>
        <v>1119.4444444444448</v>
      </c>
      <c r="AR12" s="25">
        <f t="shared" si="90"/>
        <v>2618.75</v>
      </c>
      <c r="AS12" s="25">
        <f t="shared" ref="AS12" si="91">IF(AS11&gt;599, AS11, 500)</f>
        <v>2367.6136363636379</v>
      </c>
      <c r="AT12" s="25">
        <f t="shared" ref="AT12" si="92">IF(AT11&gt;599, AT11, 500)</f>
        <v>2956.8181818181829</v>
      </c>
      <c r="AU12" s="25">
        <f t="shared" ref="AU12" si="93">IF(AU11&gt;599, AU11, 500)</f>
        <v>1343.75</v>
      </c>
      <c r="AV12" s="25">
        <f t="shared" ref="AV12" si="94">IF(AV11&gt;599, AV11, 500)</f>
        <v>1913.6363636363635</v>
      </c>
      <c r="AW12" s="25">
        <f>IF(AW11&gt;599, AW11, 600)</f>
        <v>600</v>
      </c>
      <c r="AX12" s="25">
        <f t="shared" ref="AX12:BC12" si="95">IF(AX11&gt;599, AX11, 600)</f>
        <v>2401.7094017094023</v>
      </c>
      <c r="AY12" s="25">
        <f t="shared" si="95"/>
        <v>2117.7156177156176</v>
      </c>
      <c r="AZ12" s="25">
        <f t="shared" si="95"/>
        <v>1846.9308469308471</v>
      </c>
      <c r="BA12" s="25">
        <f t="shared" si="95"/>
        <v>3845.4545454545455</v>
      </c>
      <c r="BB12" s="25">
        <f t="shared" si="95"/>
        <v>614.52991452991478</v>
      </c>
      <c r="BC12" s="25">
        <f t="shared" si="95"/>
        <v>1372.7272727272727</v>
      </c>
      <c r="BD12" s="25">
        <f t="shared" ref="BD12" si="96">IF(BD11&gt;599, BD11, 600)</f>
        <v>2333.5526315789475</v>
      </c>
      <c r="BE12" s="25">
        <f t="shared" ref="BE12" si="97">IF(BE11&gt;599, BE11, 600)</f>
        <v>3552.6315789473683</v>
      </c>
      <c r="BF12" s="25">
        <f>IF(BF11&gt;599, BF11, 850)</f>
        <v>850</v>
      </c>
      <c r="BG12" s="25">
        <f t="shared" ref="BG12" si="98">IF(BG11&gt;599, BG11, 600)</f>
        <v>600</v>
      </c>
      <c r="BH12" s="25">
        <f t="shared" ref="BH12" si="99">IF(BH11&gt;599, BH11, 600)</f>
        <v>3744.9999999999991</v>
      </c>
      <c r="BI12" s="25">
        <f t="shared" ref="BI12" si="100">IF(BI11&gt;599, BI11, 600)</f>
        <v>1769.8684210526312</v>
      </c>
    </row>
    <row r="13" spans="1:61" x14ac:dyDescent="0.25">
      <c r="B13" s="27">
        <f t="shared" ref="B13:AC13" si="101">ROUNDDOWN(B12, -1)</f>
        <v>1240</v>
      </c>
      <c r="C13" s="27">
        <f t="shared" si="101"/>
        <v>2070</v>
      </c>
      <c r="D13" s="27">
        <f t="shared" si="101"/>
        <v>3560</v>
      </c>
      <c r="E13" s="27">
        <f t="shared" si="101"/>
        <v>600</v>
      </c>
      <c r="F13" s="27">
        <f t="shared" si="101"/>
        <v>3830</v>
      </c>
      <c r="G13" s="27">
        <f t="shared" si="101"/>
        <v>1960</v>
      </c>
      <c r="H13" s="27">
        <f t="shared" si="101"/>
        <v>4000</v>
      </c>
      <c r="I13" s="27">
        <f t="shared" si="101"/>
        <v>2910</v>
      </c>
      <c r="J13" s="27">
        <f t="shared" si="101"/>
        <v>970</v>
      </c>
      <c r="K13" s="27">
        <f t="shared" si="101"/>
        <v>2320</v>
      </c>
      <c r="L13" s="27">
        <f t="shared" si="101"/>
        <v>2100</v>
      </c>
      <c r="M13" s="27">
        <f t="shared" si="101"/>
        <v>1180</v>
      </c>
      <c r="N13" s="27">
        <f t="shared" si="101"/>
        <v>1030</v>
      </c>
      <c r="O13" s="27">
        <f t="shared" si="101"/>
        <v>1150</v>
      </c>
      <c r="P13" s="27">
        <f t="shared" si="101"/>
        <v>600</v>
      </c>
      <c r="Q13" s="27">
        <f t="shared" si="101"/>
        <v>2690</v>
      </c>
      <c r="R13" s="27">
        <f t="shared" ref="R13" si="102">ROUNDDOWN(R12, -1)</f>
        <v>700</v>
      </c>
      <c r="S13" s="27">
        <f t="shared" ref="S13" si="103">ROUNDDOWN(S12, -1)</f>
        <v>2900</v>
      </c>
      <c r="T13" s="27">
        <f t="shared" ref="T13" si="104">ROUNDDOWN(T12, -1)</f>
        <v>2220</v>
      </c>
      <c r="U13" s="27">
        <f t="shared" ref="U13" si="105">ROUNDDOWN(U12, -1)</f>
        <v>3170</v>
      </c>
      <c r="V13" s="27">
        <f t="shared" ref="V13" si="106">ROUNDDOWN(V12, -1)</f>
        <v>3040</v>
      </c>
      <c r="W13" s="27">
        <f t="shared" ref="W13" si="107">ROUNDDOWN(W12, -1)</f>
        <v>1020</v>
      </c>
      <c r="X13" s="27">
        <f t="shared" si="101"/>
        <v>600</v>
      </c>
      <c r="Y13" s="27">
        <f t="shared" si="101"/>
        <v>2790</v>
      </c>
      <c r="Z13" s="27">
        <f t="shared" si="101"/>
        <v>4000</v>
      </c>
      <c r="AA13" s="27">
        <f t="shared" si="101"/>
        <v>1140</v>
      </c>
      <c r="AB13" s="27">
        <f t="shared" si="101"/>
        <v>1130</v>
      </c>
      <c r="AC13" s="27">
        <f t="shared" si="101"/>
        <v>1530</v>
      </c>
      <c r="AD13" s="27">
        <f>ROUNDDOWN(AD12, -1)</f>
        <v>500</v>
      </c>
      <c r="AE13" s="27">
        <f t="shared" ref="AE13:AM13" si="108">ROUND(AE12, -1)</f>
        <v>2320</v>
      </c>
      <c r="AF13" s="27">
        <f t="shared" si="108"/>
        <v>2780</v>
      </c>
      <c r="AG13" s="27">
        <f t="shared" si="108"/>
        <v>3050</v>
      </c>
      <c r="AH13" s="27">
        <f t="shared" si="108"/>
        <v>2190</v>
      </c>
      <c r="AI13" s="27">
        <f t="shared" si="108"/>
        <v>2780</v>
      </c>
      <c r="AJ13" s="27">
        <f t="shared" si="108"/>
        <v>600</v>
      </c>
      <c r="AK13" s="27">
        <f t="shared" si="108"/>
        <v>3750</v>
      </c>
      <c r="AL13" s="27">
        <f t="shared" si="108"/>
        <v>1910</v>
      </c>
      <c r="AM13" s="27">
        <f t="shared" si="108"/>
        <v>4000</v>
      </c>
      <c r="AN13" s="27">
        <f t="shared" ref="AN13:AR13" si="109">ROUND(AN12, -1)</f>
        <v>2310</v>
      </c>
      <c r="AO13" s="27">
        <f t="shared" si="109"/>
        <v>1450</v>
      </c>
      <c r="AP13" s="27">
        <f t="shared" si="109"/>
        <v>600</v>
      </c>
      <c r="AQ13" s="27">
        <f t="shared" si="109"/>
        <v>1120</v>
      </c>
      <c r="AR13" s="27">
        <f t="shared" si="109"/>
        <v>2620</v>
      </c>
      <c r="AS13" s="27">
        <f t="shared" ref="AS13" si="110">ROUND(AS12, -1)</f>
        <v>2370</v>
      </c>
      <c r="AT13" s="27">
        <f t="shared" ref="AT13" si="111">ROUND(AT12, -1)</f>
        <v>2960</v>
      </c>
      <c r="AU13" s="27">
        <f t="shared" ref="AU13" si="112">ROUND(AU12, -1)</f>
        <v>1340</v>
      </c>
      <c r="AV13" s="27">
        <f t="shared" ref="AV13" si="113">ROUND(AV12, -1)</f>
        <v>1910</v>
      </c>
      <c r="AW13" s="27">
        <f t="shared" ref="AW13:BC13" si="114">ROUND(AW12, -1)</f>
        <v>600</v>
      </c>
      <c r="AX13" s="27">
        <f t="shared" si="114"/>
        <v>2400</v>
      </c>
      <c r="AY13" s="27">
        <f t="shared" si="114"/>
        <v>2120</v>
      </c>
      <c r="AZ13" s="27">
        <f t="shared" si="114"/>
        <v>1850</v>
      </c>
      <c r="BA13" s="27">
        <f t="shared" si="114"/>
        <v>3850</v>
      </c>
      <c r="BB13" s="27">
        <f t="shared" si="114"/>
        <v>610</v>
      </c>
      <c r="BC13" s="27">
        <f t="shared" si="114"/>
        <v>1370</v>
      </c>
      <c r="BD13" s="27">
        <f t="shared" ref="BD13:BI13" si="115">ROUND(BD12, -1)</f>
        <v>2330</v>
      </c>
      <c r="BE13" s="27">
        <f t="shared" si="115"/>
        <v>3550</v>
      </c>
      <c r="BF13" s="27">
        <f t="shared" si="115"/>
        <v>850</v>
      </c>
      <c r="BG13" s="27">
        <f t="shared" si="115"/>
        <v>600</v>
      </c>
      <c r="BH13" s="27">
        <f t="shared" si="115"/>
        <v>3750</v>
      </c>
      <c r="BI13" s="27">
        <f t="shared" si="115"/>
        <v>1770</v>
      </c>
    </row>
    <row r="14" spans="1:61" x14ac:dyDescent="0.25">
      <c r="G14" s="9"/>
      <c r="H14" s="17"/>
      <c r="P14" s="9"/>
      <c r="W14" s="9"/>
      <c r="X14" s="17"/>
      <c r="AC14" s="9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</row>
    <row r="15" spans="1:61" x14ac:dyDescent="0.25">
      <c r="A15" s="1" t="s">
        <v>54</v>
      </c>
      <c r="B15" s="5" t="s">
        <v>55</v>
      </c>
      <c r="C15" s="5" t="s">
        <v>56</v>
      </c>
      <c r="D15" s="5" t="s">
        <v>57</v>
      </c>
      <c r="E15" s="5" t="s">
        <v>58</v>
      </c>
      <c r="F15" s="5" t="s">
        <v>59</v>
      </c>
      <c r="G15" s="14" t="s">
        <v>60</v>
      </c>
      <c r="H15" s="20" t="s">
        <v>61</v>
      </c>
      <c r="I15" s="5" t="s">
        <v>62</v>
      </c>
      <c r="J15" s="5" t="s">
        <v>63</v>
      </c>
      <c r="K15" s="5" t="s">
        <v>64</v>
      </c>
      <c r="L15" s="5" t="s">
        <v>65</v>
      </c>
      <c r="M15" s="5" t="s">
        <v>66</v>
      </c>
      <c r="N15" s="5" t="s">
        <v>67</v>
      </c>
      <c r="O15" s="5" t="s">
        <v>68</v>
      </c>
      <c r="P15" s="14" t="s">
        <v>69</v>
      </c>
      <c r="Q15" s="5" t="s">
        <v>70</v>
      </c>
      <c r="R15" s="28" t="s">
        <v>115</v>
      </c>
      <c r="S15" s="28" t="s">
        <v>71</v>
      </c>
      <c r="T15" s="28" t="s">
        <v>73</v>
      </c>
      <c r="U15" s="5" t="s">
        <v>72</v>
      </c>
      <c r="V15" s="28" t="s">
        <v>117</v>
      </c>
      <c r="W15" s="28" t="s">
        <v>74</v>
      </c>
      <c r="X15" s="20" t="s">
        <v>75</v>
      </c>
      <c r="Y15" s="5" t="s">
        <v>76</v>
      </c>
      <c r="Z15" s="5" t="s">
        <v>77</v>
      </c>
      <c r="AA15" s="5" t="s">
        <v>78</v>
      </c>
      <c r="AB15" s="5" t="s">
        <v>79</v>
      </c>
      <c r="AC15" s="14" t="s">
        <v>80</v>
      </c>
      <c r="AD15" s="28" t="s">
        <v>256</v>
      </c>
      <c r="AE15" s="28" t="s">
        <v>125</v>
      </c>
      <c r="AF15" s="28" t="s">
        <v>81</v>
      </c>
      <c r="AG15" s="28" t="s">
        <v>82</v>
      </c>
      <c r="AH15" s="28" t="s">
        <v>83</v>
      </c>
      <c r="AI15" s="28" t="s">
        <v>84</v>
      </c>
      <c r="AJ15" s="28" t="s">
        <v>85</v>
      </c>
      <c r="AK15" s="28" t="s">
        <v>86</v>
      </c>
      <c r="AL15" s="28" t="s">
        <v>87</v>
      </c>
      <c r="AM15" s="28" t="s">
        <v>88</v>
      </c>
      <c r="AN15" s="28" t="s">
        <v>89</v>
      </c>
      <c r="AO15" s="28" t="s">
        <v>90</v>
      </c>
      <c r="AP15" s="28" t="s">
        <v>91</v>
      </c>
      <c r="AQ15" s="28" t="s">
        <v>92</v>
      </c>
      <c r="AR15" s="5" t="s">
        <v>93</v>
      </c>
      <c r="AS15" s="5" t="s">
        <v>94</v>
      </c>
      <c r="AT15" s="5" t="s">
        <v>95</v>
      </c>
      <c r="AU15" s="5" t="s">
        <v>96</v>
      </c>
      <c r="AV15" s="5" t="s">
        <v>97</v>
      </c>
      <c r="AW15" s="5" t="s">
        <v>98</v>
      </c>
      <c r="AX15" s="5" t="s">
        <v>763</v>
      </c>
      <c r="AY15" s="5" t="s">
        <v>764</v>
      </c>
      <c r="AZ15" s="5" t="s">
        <v>770</v>
      </c>
      <c r="BA15" s="5" t="s">
        <v>765</v>
      </c>
      <c r="BB15" s="5" t="s">
        <v>766</v>
      </c>
      <c r="BC15" s="5" t="s">
        <v>767</v>
      </c>
      <c r="BD15" s="5" t="s">
        <v>848</v>
      </c>
      <c r="BE15" s="5" t="s">
        <v>854</v>
      </c>
      <c r="BF15" s="5" t="s">
        <v>849</v>
      </c>
      <c r="BG15" s="5" t="s">
        <v>852</v>
      </c>
      <c r="BH15" s="5" t="s">
        <v>851</v>
      </c>
      <c r="BI15" s="5" t="s">
        <v>853</v>
      </c>
    </row>
    <row r="16" spans="1:61" x14ac:dyDescent="0.25">
      <c r="B16" s="5" t="s">
        <v>99</v>
      </c>
      <c r="C16" s="5" t="s">
        <v>100</v>
      </c>
      <c r="D16" s="5" t="s">
        <v>101</v>
      </c>
      <c r="E16" s="5" t="s">
        <v>102</v>
      </c>
      <c r="F16" s="5" t="s">
        <v>103</v>
      </c>
      <c r="G16" s="14" t="s">
        <v>104</v>
      </c>
      <c r="H16" s="20" t="s">
        <v>105</v>
      </c>
      <c r="I16" s="5" t="s">
        <v>106</v>
      </c>
      <c r="J16" s="5" t="s">
        <v>107</v>
      </c>
      <c r="K16" s="5" t="s">
        <v>108</v>
      </c>
      <c r="L16" s="5" t="s">
        <v>109</v>
      </c>
      <c r="M16" s="5" t="s">
        <v>110</v>
      </c>
      <c r="N16" s="5" t="s">
        <v>111</v>
      </c>
      <c r="O16" s="5" t="s">
        <v>112</v>
      </c>
      <c r="P16" s="14" t="s">
        <v>113</v>
      </c>
      <c r="Q16" s="5" t="s">
        <v>114</v>
      </c>
      <c r="R16" s="28" t="s">
        <v>159</v>
      </c>
      <c r="S16" s="28" t="s">
        <v>203</v>
      </c>
      <c r="T16" s="28" t="s">
        <v>162</v>
      </c>
      <c r="U16" s="5" t="s">
        <v>116</v>
      </c>
      <c r="V16" s="28" t="s">
        <v>161</v>
      </c>
      <c r="W16" s="28" t="s">
        <v>118</v>
      </c>
      <c r="X16" s="20" t="s">
        <v>119</v>
      </c>
      <c r="Y16" s="5" t="s">
        <v>120</v>
      </c>
      <c r="Z16" s="5" t="s">
        <v>121</v>
      </c>
      <c r="AA16" s="5" t="s">
        <v>122</v>
      </c>
      <c r="AB16" s="5" t="s">
        <v>123</v>
      </c>
      <c r="AC16" s="14" t="s">
        <v>124</v>
      </c>
      <c r="AD16" s="28" t="s">
        <v>414</v>
      </c>
      <c r="AE16" s="28" t="s">
        <v>169</v>
      </c>
      <c r="AF16" s="28" t="s">
        <v>296</v>
      </c>
      <c r="AG16" s="28" t="s">
        <v>126</v>
      </c>
      <c r="AH16" s="28" t="s">
        <v>127</v>
      </c>
      <c r="AI16" s="28" t="s">
        <v>128</v>
      </c>
      <c r="AJ16" s="28" t="s">
        <v>129</v>
      </c>
      <c r="AK16" s="28" t="s">
        <v>130</v>
      </c>
      <c r="AL16" s="28" t="s">
        <v>131</v>
      </c>
      <c r="AM16" s="28" t="s">
        <v>132</v>
      </c>
      <c r="AN16" s="28" t="s">
        <v>133</v>
      </c>
      <c r="AO16" s="28" t="s">
        <v>134</v>
      </c>
      <c r="AP16" s="28" t="s">
        <v>135</v>
      </c>
      <c r="AQ16" s="28" t="s">
        <v>136</v>
      </c>
      <c r="AR16" s="5" t="s">
        <v>137</v>
      </c>
      <c r="AS16" s="5" t="s">
        <v>138</v>
      </c>
      <c r="AT16" s="5" t="s">
        <v>139</v>
      </c>
      <c r="AU16" s="5" t="s">
        <v>140</v>
      </c>
      <c r="AV16" s="5" t="s">
        <v>141</v>
      </c>
      <c r="AW16" s="5" t="s">
        <v>142</v>
      </c>
      <c r="AX16" s="5" t="s">
        <v>769</v>
      </c>
      <c r="AY16" s="5" t="s">
        <v>776</v>
      </c>
      <c r="AZ16" s="5" t="s">
        <v>781</v>
      </c>
      <c r="BA16" s="5" t="s">
        <v>771</v>
      </c>
      <c r="BB16" s="5" t="s">
        <v>772</v>
      </c>
      <c r="BC16" s="5" t="s">
        <v>773</v>
      </c>
      <c r="BD16" s="5" t="s">
        <v>876</v>
      </c>
      <c r="BE16" s="5" t="s">
        <v>860</v>
      </c>
      <c r="BF16" s="5" t="s">
        <v>855</v>
      </c>
      <c r="BG16" s="5" t="s">
        <v>858</v>
      </c>
      <c r="BH16" s="5" t="s">
        <v>857</v>
      </c>
      <c r="BI16" s="5" t="s">
        <v>859</v>
      </c>
    </row>
    <row r="17" spans="2:61" x14ac:dyDescent="0.25">
      <c r="B17" s="5" t="s">
        <v>143</v>
      </c>
      <c r="C17" s="5" t="s">
        <v>144</v>
      </c>
      <c r="D17" s="5" t="s">
        <v>145</v>
      </c>
      <c r="E17" s="5" t="s">
        <v>146</v>
      </c>
      <c r="F17" s="5" t="s">
        <v>147</v>
      </c>
      <c r="G17" s="14" t="s">
        <v>148</v>
      </c>
      <c r="H17" s="20" t="s">
        <v>149</v>
      </c>
      <c r="I17" s="5" t="s">
        <v>150</v>
      </c>
      <c r="J17" s="5" t="s">
        <v>151</v>
      </c>
      <c r="K17" s="5" t="s">
        <v>152</v>
      </c>
      <c r="L17" s="5" t="s">
        <v>153</v>
      </c>
      <c r="M17" s="5" t="s">
        <v>154</v>
      </c>
      <c r="N17" s="5" t="s">
        <v>155</v>
      </c>
      <c r="O17" s="5" t="s">
        <v>156</v>
      </c>
      <c r="P17" s="14" t="s">
        <v>157</v>
      </c>
      <c r="Q17" s="5" t="s">
        <v>158</v>
      </c>
      <c r="R17" s="28" t="s">
        <v>287</v>
      </c>
      <c r="S17" s="28" t="s">
        <v>246</v>
      </c>
      <c r="T17" s="28" t="s">
        <v>368</v>
      </c>
      <c r="U17" s="5" t="s">
        <v>160</v>
      </c>
      <c r="V17" s="28" t="s">
        <v>205</v>
      </c>
      <c r="W17" s="28" t="s">
        <v>206</v>
      </c>
      <c r="X17" s="20" t="s">
        <v>163</v>
      </c>
      <c r="Y17" s="5" t="s">
        <v>164</v>
      </c>
      <c r="Z17" s="5" t="s">
        <v>165</v>
      </c>
      <c r="AA17" s="5" t="s">
        <v>166</v>
      </c>
      <c r="AB17" s="5" t="s">
        <v>167</v>
      </c>
      <c r="AC17" s="14" t="s">
        <v>168</v>
      </c>
      <c r="AD17" s="28" t="s">
        <v>486</v>
      </c>
      <c r="AE17" s="28" t="s">
        <v>213</v>
      </c>
      <c r="AF17" s="28" t="s">
        <v>453</v>
      </c>
      <c r="AG17" s="28" t="s">
        <v>170</v>
      </c>
      <c r="AH17" s="28" t="s">
        <v>171</v>
      </c>
      <c r="AI17" s="28" t="s">
        <v>172</v>
      </c>
      <c r="AJ17" s="28" t="s">
        <v>173</v>
      </c>
      <c r="AK17" s="28" t="s">
        <v>174</v>
      </c>
      <c r="AL17" s="28" t="s">
        <v>175</v>
      </c>
      <c r="AM17" s="28" t="s">
        <v>176</v>
      </c>
      <c r="AN17" s="28" t="s">
        <v>177</v>
      </c>
      <c r="AO17" s="28" t="s">
        <v>178</v>
      </c>
      <c r="AP17" s="28" t="s">
        <v>179</v>
      </c>
      <c r="AQ17" s="28" t="s">
        <v>180</v>
      </c>
      <c r="AR17" s="5" t="s">
        <v>181</v>
      </c>
      <c r="AS17" s="5" t="s">
        <v>182</v>
      </c>
      <c r="AT17" s="5" t="s">
        <v>183</v>
      </c>
      <c r="AU17" s="5" t="s">
        <v>184</v>
      </c>
      <c r="AV17" s="5" t="s">
        <v>185</v>
      </c>
      <c r="AW17" s="5" t="s">
        <v>186</v>
      </c>
      <c r="AX17" s="5" t="s">
        <v>775</v>
      </c>
      <c r="AY17" s="5" t="s">
        <v>791</v>
      </c>
      <c r="AZ17" s="5" t="s">
        <v>786</v>
      </c>
      <c r="BA17" s="5" t="s">
        <v>777</v>
      </c>
      <c r="BB17" s="5" t="s">
        <v>778</v>
      </c>
      <c r="BC17" s="5" t="s">
        <v>779</v>
      </c>
      <c r="BD17" s="5" t="s">
        <v>882</v>
      </c>
      <c r="BE17" s="5" t="s">
        <v>866</v>
      </c>
      <c r="BF17" s="5" t="s">
        <v>861</v>
      </c>
      <c r="BG17" s="5" t="s">
        <v>850</v>
      </c>
      <c r="BH17" s="5" t="s">
        <v>863</v>
      </c>
      <c r="BI17" s="5" t="s">
        <v>865</v>
      </c>
    </row>
    <row r="18" spans="2:61" x14ac:dyDescent="0.25">
      <c r="B18" s="5" t="s">
        <v>187</v>
      </c>
      <c r="C18" s="5" t="s">
        <v>188</v>
      </c>
      <c r="D18" s="5" t="s">
        <v>189</v>
      </c>
      <c r="E18" s="5" t="s">
        <v>190</v>
      </c>
      <c r="F18" s="5" t="s">
        <v>191</v>
      </c>
      <c r="G18" s="14" t="s">
        <v>192</v>
      </c>
      <c r="H18" s="20" t="s">
        <v>193</v>
      </c>
      <c r="I18" s="5" t="s">
        <v>194</v>
      </c>
      <c r="J18" s="5" t="s">
        <v>195</v>
      </c>
      <c r="K18" s="5" t="s">
        <v>196</v>
      </c>
      <c r="L18" s="5" t="s">
        <v>197</v>
      </c>
      <c r="M18" s="5" t="s">
        <v>198</v>
      </c>
      <c r="N18" s="5" t="s">
        <v>199</v>
      </c>
      <c r="O18" s="5" t="s">
        <v>200</v>
      </c>
      <c r="P18" s="14" t="s">
        <v>201</v>
      </c>
      <c r="Q18" s="5" t="s">
        <v>202</v>
      </c>
      <c r="R18" s="28" t="s">
        <v>408</v>
      </c>
      <c r="S18" s="28" t="s">
        <v>327</v>
      </c>
      <c r="T18" s="28" t="s">
        <v>249</v>
      </c>
      <c r="U18" s="5" t="s">
        <v>204</v>
      </c>
      <c r="V18" s="28" t="s">
        <v>248</v>
      </c>
      <c r="W18" s="28" t="s">
        <v>290</v>
      </c>
      <c r="X18" s="20" t="s">
        <v>207</v>
      </c>
      <c r="Y18" s="5" t="s">
        <v>208</v>
      </c>
      <c r="Z18" s="5" t="s">
        <v>209</v>
      </c>
      <c r="AA18" s="5" t="s">
        <v>210</v>
      </c>
      <c r="AB18" s="5" t="s">
        <v>211</v>
      </c>
      <c r="AC18" s="14" t="s">
        <v>212</v>
      </c>
      <c r="AD18" s="28" t="s">
        <v>593</v>
      </c>
      <c r="AE18" s="28" t="s">
        <v>336</v>
      </c>
      <c r="AF18" s="28" t="s">
        <v>570</v>
      </c>
      <c r="AG18" s="28" t="s">
        <v>214</v>
      </c>
      <c r="AH18" s="28" t="s">
        <v>215</v>
      </c>
      <c r="AI18" s="28" t="s">
        <v>216</v>
      </c>
      <c r="AJ18" s="28" t="s">
        <v>217</v>
      </c>
      <c r="AK18" s="28" t="s">
        <v>218</v>
      </c>
      <c r="AL18" s="28" t="s">
        <v>219</v>
      </c>
      <c r="AM18" s="28" t="s">
        <v>220</v>
      </c>
      <c r="AN18" s="28" t="s">
        <v>221</v>
      </c>
      <c r="AO18" s="28" t="s">
        <v>222</v>
      </c>
      <c r="AP18" s="28" t="s">
        <v>223</v>
      </c>
      <c r="AQ18" s="28" t="s">
        <v>224</v>
      </c>
      <c r="AR18" s="5" t="s">
        <v>225</v>
      </c>
      <c r="AS18" s="5" t="s">
        <v>226</v>
      </c>
      <c r="AT18" s="5" t="s">
        <v>227</v>
      </c>
      <c r="AU18" s="5" t="s">
        <v>228</v>
      </c>
      <c r="AV18" s="5" t="s">
        <v>229</v>
      </c>
      <c r="AX18" s="5" t="s">
        <v>780</v>
      </c>
      <c r="AY18" s="5" t="s">
        <v>795</v>
      </c>
      <c r="AZ18" s="5" t="s">
        <v>799</v>
      </c>
      <c r="BA18" s="5" t="s">
        <v>782</v>
      </c>
      <c r="BB18" s="5" t="s">
        <v>783</v>
      </c>
      <c r="BC18" s="5" t="s">
        <v>784</v>
      </c>
      <c r="BD18" s="5" t="s">
        <v>885</v>
      </c>
      <c r="BE18" s="5" t="s">
        <v>871</v>
      </c>
      <c r="BF18" s="5" t="s">
        <v>867</v>
      </c>
      <c r="BG18" s="5" t="s">
        <v>864</v>
      </c>
      <c r="BH18" s="5" t="s">
        <v>869</v>
      </c>
      <c r="BI18" s="5" t="s">
        <v>870</v>
      </c>
    </row>
    <row r="19" spans="2:61" x14ac:dyDescent="0.25">
      <c r="B19" s="5" t="s">
        <v>230</v>
      </c>
      <c r="C19" s="5" t="s">
        <v>231</v>
      </c>
      <c r="D19" s="5" t="s">
        <v>232</v>
      </c>
      <c r="E19" s="5" t="s">
        <v>233</v>
      </c>
      <c r="F19" s="5" t="s">
        <v>234</v>
      </c>
      <c r="G19" s="14" t="s">
        <v>235</v>
      </c>
      <c r="H19" s="20" t="s">
        <v>236</v>
      </c>
      <c r="I19" s="5" t="s">
        <v>237</v>
      </c>
      <c r="J19" s="5" t="s">
        <v>238</v>
      </c>
      <c r="K19" s="5" t="s">
        <v>239</v>
      </c>
      <c r="L19" s="5" t="s">
        <v>240</v>
      </c>
      <c r="M19" s="5" t="s">
        <v>241</v>
      </c>
      <c r="N19" s="5" t="s">
        <v>242</v>
      </c>
      <c r="O19" s="5" t="s">
        <v>243</v>
      </c>
      <c r="P19" s="14" t="s">
        <v>244</v>
      </c>
      <c r="Q19" s="5" t="s">
        <v>245</v>
      </c>
      <c r="R19" s="28" t="s">
        <v>535</v>
      </c>
      <c r="S19" s="28" t="s">
        <v>366</v>
      </c>
      <c r="T19" s="28" t="s">
        <v>330</v>
      </c>
      <c r="U19" s="5" t="s">
        <v>247</v>
      </c>
      <c r="V19" s="28" t="s">
        <v>289</v>
      </c>
      <c r="W19" s="28" t="s">
        <v>587</v>
      </c>
      <c r="X19" s="20" t="s">
        <v>250</v>
      </c>
      <c r="Y19" s="5" t="s">
        <v>251</v>
      </c>
      <c r="Z19" s="5" t="s">
        <v>252</v>
      </c>
      <c r="AA19" s="5" t="s">
        <v>253</v>
      </c>
      <c r="AB19" s="5" t="s">
        <v>254</v>
      </c>
      <c r="AC19" s="14" t="s">
        <v>255</v>
      </c>
      <c r="AD19" s="28" t="s">
        <v>614</v>
      </c>
      <c r="AE19" s="28" t="s">
        <v>375</v>
      </c>
      <c r="AF19" s="28" t="s">
        <v>634</v>
      </c>
      <c r="AG19" s="28" t="s">
        <v>257</v>
      </c>
      <c r="AH19" s="28" t="s">
        <v>258</v>
      </c>
      <c r="AI19" s="28" t="s">
        <v>259</v>
      </c>
      <c r="AJ19" s="28" t="s">
        <v>260</v>
      </c>
      <c r="AK19" s="28" t="s">
        <v>261</v>
      </c>
      <c r="AL19" s="28" t="s">
        <v>262</v>
      </c>
      <c r="AM19" s="28" t="s">
        <v>263</v>
      </c>
      <c r="AN19" s="28" t="s">
        <v>264</v>
      </c>
      <c r="AO19" s="28" t="s">
        <v>265</v>
      </c>
      <c r="AP19" s="28" t="s">
        <v>266</v>
      </c>
      <c r="AQ19" s="23"/>
      <c r="AR19" s="5" t="s">
        <v>267</v>
      </c>
      <c r="AS19" s="5" t="s">
        <v>268</v>
      </c>
      <c r="AT19" s="5" t="s">
        <v>269</v>
      </c>
      <c r="AU19" s="5" t="s">
        <v>270</v>
      </c>
      <c r="AV19" s="5" t="s">
        <v>271</v>
      </c>
      <c r="AX19" s="5" t="s">
        <v>785</v>
      </c>
      <c r="AY19" s="5" t="s">
        <v>803</v>
      </c>
      <c r="AZ19" s="5" t="s">
        <v>807</v>
      </c>
      <c r="BA19" s="5" t="s">
        <v>787</v>
      </c>
      <c r="BB19" s="5" t="s">
        <v>788</v>
      </c>
      <c r="BC19" s="5" t="s">
        <v>768</v>
      </c>
      <c r="BD19" s="5" t="s">
        <v>891</v>
      </c>
      <c r="BE19" s="5" t="s">
        <v>879</v>
      </c>
      <c r="BF19" s="5" t="s">
        <v>872</v>
      </c>
      <c r="BG19" s="5" t="s">
        <v>856</v>
      </c>
      <c r="BH19" s="5" t="s">
        <v>874</v>
      </c>
      <c r="BI19" s="5" t="s">
        <v>875</v>
      </c>
    </row>
    <row r="20" spans="2:61" x14ac:dyDescent="0.25">
      <c r="B20" s="5" t="s">
        <v>272</v>
      </c>
      <c r="C20" s="5" t="s">
        <v>273</v>
      </c>
      <c r="D20" s="5" t="s">
        <v>274</v>
      </c>
      <c r="E20" s="5" t="s">
        <v>275</v>
      </c>
      <c r="F20" s="5" t="s">
        <v>276</v>
      </c>
      <c r="G20" s="14" t="s">
        <v>277</v>
      </c>
      <c r="H20" s="20" t="s">
        <v>278</v>
      </c>
      <c r="I20" s="5" t="s">
        <v>279</v>
      </c>
      <c r="J20" s="5" t="s">
        <v>280</v>
      </c>
      <c r="K20" s="5" t="s">
        <v>281</v>
      </c>
      <c r="M20" s="5" t="s">
        <v>282</v>
      </c>
      <c r="N20" s="5" t="s">
        <v>283</v>
      </c>
      <c r="O20" s="5" t="s">
        <v>284</v>
      </c>
      <c r="P20" s="14" t="s">
        <v>285</v>
      </c>
      <c r="Q20" s="5" t="s">
        <v>286</v>
      </c>
      <c r="R20" s="28" t="s">
        <v>584</v>
      </c>
      <c r="S20" s="28" t="s">
        <v>405</v>
      </c>
      <c r="T20" s="28" t="s">
        <v>369</v>
      </c>
      <c r="U20" s="5" t="s">
        <v>288</v>
      </c>
      <c r="V20" s="28" t="s">
        <v>329</v>
      </c>
      <c r="W20" s="28" t="s">
        <v>608</v>
      </c>
      <c r="X20" s="20" t="s">
        <v>291</v>
      </c>
      <c r="Y20" s="5" t="s">
        <v>292</v>
      </c>
      <c r="Z20" s="5" t="s">
        <v>293</v>
      </c>
      <c r="AA20" s="5" t="s">
        <v>294</v>
      </c>
      <c r="AB20" s="5" t="s">
        <v>295</v>
      </c>
      <c r="AC20" s="9"/>
      <c r="AD20" s="28" t="s">
        <v>652</v>
      </c>
      <c r="AE20" s="28" t="s">
        <v>517</v>
      </c>
      <c r="AF20" s="28" t="s">
        <v>737</v>
      </c>
      <c r="AG20" s="28" t="s">
        <v>297</v>
      </c>
      <c r="AH20" s="28" t="s">
        <v>298</v>
      </c>
      <c r="AI20" s="28" t="s">
        <v>299</v>
      </c>
      <c r="AJ20" s="28" t="s">
        <v>300</v>
      </c>
      <c r="AK20" s="28" t="s">
        <v>301</v>
      </c>
      <c r="AL20" s="28" t="s">
        <v>302</v>
      </c>
      <c r="AM20" s="28" t="s">
        <v>303</v>
      </c>
      <c r="AN20" s="28" t="s">
        <v>304</v>
      </c>
      <c r="AO20" s="28" t="s">
        <v>305</v>
      </c>
      <c r="AP20" s="28" t="s">
        <v>306</v>
      </c>
      <c r="AQ20" s="23"/>
      <c r="AR20" s="5" t="s">
        <v>307</v>
      </c>
      <c r="AS20" s="5" t="s">
        <v>308</v>
      </c>
      <c r="AT20" s="5" t="s">
        <v>309</v>
      </c>
      <c r="AU20" s="5" t="s">
        <v>310</v>
      </c>
      <c r="AV20" s="5" t="s">
        <v>311</v>
      </c>
      <c r="AX20" s="5" t="s">
        <v>790</v>
      </c>
      <c r="AY20" s="5" t="s">
        <v>810</v>
      </c>
      <c r="AZ20" s="5" t="s">
        <v>818</v>
      </c>
      <c r="BA20" s="5"/>
      <c r="BB20" s="5" t="s">
        <v>792</v>
      </c>
      <c r="BC20" s="5" t="s">
        <v>789</v>
      </c>
      <c r="BD20" s="5" t="s">
        <v>894</v>
      </c>
      <c r="BE20" s="5" t="s">
        <v>888</v>
      </c>
      <c r="BF20" s="5" t="s">
        <v>877</v>
      </c>
      <c r="BG20" s="5" t="s">
        <v>862</v>
      </c>
      <c r="BH20" s="5" t="s">
        <v>878</v>
      </c>
    </row>
    <row r="21" spans="2:61" x14ac:dyDescent="0.25">
      <c r="B21" s="5" t="s">
        <v>312</v>
      </c>
      <c r="C21" s="5" t="s">
        <v>313</v>
      </c>
      <c r="D21" s="5" t="s">
        <v>314</v>
      </c>
      <c r="E21" s="5" t="s">
        <v>315</v>
      </c>
      <c r="F21" s="5" t="s">
        <v>316</v>
      </c>
      <c r="G21" s="14" t="s">
        <v>317</v>
      </c>
      <c r="H21" s="20" t="s">
        <v>318</v>
      </c>
      <c r="I21" s="5" t="s">
        <v>319</v>
      </c>
      <c r="J21" s="5" t="s">
        <v>320</v>
      </c>
      <c r="K21" s="5" t="s">
        <v>321</v>
      </c>
      <c r="M21" s="5" t="s">
        <v>322</v>
      </c>
      <c r="N21" s="5" t="s">
        <v>323</v>
      </c>
      <c r="O21" s="5" t="s">
        <v>324</v>
      </c>
      <c r="P21" s="14" t="s">
        <v>325</v>
      </c>
      <c r="Q21" s="5" t="s">
        <v>326</v>
      </c>
      <c r="R21" s="28" t="s">
        <v>625</v>
      </c>
      <c r="S21" s="28" t="s">
        <v>444</v>
      </c>
      <c r="T21" s="28" t="s">
        <v>479</v>
      </c>
      <c r="U21" s="5" t="s">
        <v>328</v>
      </c>
      <c r="V21" s="28" t="s">
        <v>407</v>
      </c>
      <c r="W21" s="28" t="s">
        <v>647</v>
      </c>
      <c r="X21" s="20" t="s">
        <v>331</v>
      </c>
      <c r="Y21" s="5" t="s">
        <v>332</v>
      </c>
      <c r="Z21" s="5" t="s">
        <v>333</v>
      </c>
      <c r="AA21" s="5" t="s">
        <v>334</v>
      </c>
      <c r="AB21" s="5" t="s">
        <v>335</v>
      </c>
      <c r="AC21" s="9"/>
      <c r="AD21" s="28" t="s">
        <v>668</v>
      </c>
      <c r="AE21" s="28" t="s">
        <v>544</v>
      </c>
      <c r="AF21" s="28" t="s">
        <v>742</v>
      </c>
      <c r="AG21" s="28" t="s">
        <v>337</v>
      </c>
      <c r="AH21" s="28" t="s">
        <v>338</v>
      </c>
      <c r="AI21" s="28" t="s">
        <v>339</v>
      </c>
      <c r="AJ21" s="28" t="s">
        <v>340</v>
      </c>
      <c r="AK21" s="28" t="s">
        <v>341</v>
      </c>
      <c r="AL21" s="28" t="s">
        <v>342</v>
      </c>
      <c r="AM21" s="28" t="s">
        <v>343</v>
      </c>
      <c r="AN21" s="28" t="s">
        <v>344</v>
      </c>
      <c r="AO21" s="28" t="s">
        <v>345</v>
      </c>
      <c r="AP21" s="28" t="s">
        <v>346</v>
      </c>
      <c r="AQ21" s="23"/>
      <c r="AR21" s="5" t="s">
        <v>347</v>
      </c>
      <c r="AS21" s="5" t="s">
        <v>348</v>
      </c>
      <c r="AT21" s="5" t="s">
        <v>349</v>
      </c>
      <c r="AU21" s="5" t="s">
        <v>350</v>
      </c>
      <c r="AV21" s="5" t="s">
        <v>351</v>
      </c>
      <c r="AX21" s="5" t="s">
        <v>794</v>
      </c>
      <c r="AY21" s="5" t="s">
        <v>813</v>
      </c>
      <c r="AZ21" s="5" t="s">
        <v>822</v>
      </c>
      <c r="BA21" s="5"/>
      <c r="BB21" s="5" t="s">
        <v>796</v>
      </c>
      <c r="BC21" s="5" t="s">
        <v>774</v>
      </c>
      <c r="BD21" s="5" t="s">
        <v>897</v>
      </c>
      <c r="BE21" s="5" t="s">
        <v>910</v>
      </c>
      <c r="BF21" s="5" t="s">
        <v>880</v>
      </c>
      <c r="BG21" s="5" t="s">
        <v>868</v>
      </c>
      <c r="BH21" s="5" t="s">
        <v>881</v>
      </c>
    </row>
    <row r="22" spans="2:61" x14ac:dyDescent="0.25">
      <c r="C22" s="5" t="s">
        <v>352</v>
      </c>
      <c r="D22" s="5" t="s">
        <v>353</v>
      </c>
      <c r="E22" s="5" t="s">
        <v>354</v>
      </c>
      <c r="F22" s="5" t="s">
        <v>355</v>
      </c>
      <c r="G22" s="14" t="s">
        <v>356</v>
      </c>
      <c r="H22" s="20" t="s">
        <v>357</v>
      </c>
      <c r="I22" s="5" t="s">
        <v>358</v>
      </c>
      <c r="J22" s="5" t="s">
        <v>359</v>
      </c>
      <c r="K22" s="5" t="s">
        <v>360</v>
      </c>
      <c r="M22" s="5" t="s">
        <v>361</v>
      </c>
      <c r="N22" s="5" t="s">
        <v>362</v>
      </c>
      <c r="O22" s="5" t="s">
        <v>363</v>
      </c>
      <c r="P22" s="14" t="s">
        <v>364</v>
      </c>
      <c r="Q22" s="5" t="s">
        <v>365</v>
      </c>
      <c r="R22" s="28" t="s">
        <v>644</v>
      </c>
      <c r="S22" s="28" t="s">
        <v>477</v>
      </c>
      <c r="T22" s="28" t="s">
        <v>447</v>
      </c>
      <c r="U22" s="5" t="s">
        <v>367</v>
      </c>
      <c r="V22" s="28" t="s">
        <v>446</v>
      </c>
      <c r="W22" s="28" t="s">
        <v>664</v>
      </c>
      <c r="X22" s="20" t="s">
        <v>370</v>
      </c>
      <c r="Y22" s="5" t="s">
        <v>371</v>
      </c>
      <c r="Z22" s="5" t="s">
        <v>372</v>
      </c>
      <c r="AA22" s="5" t="s">
        <v>373</v>
      </c>
      <c r="AB22" s="5" t="s">
        <v>374</v>
      </c>
      <c r="AC22" s="9"/>
      <c r="AD22" s="28" t="s">
        <v>684</v>
      </c>
      <c r="AE22" s="28" t="s">
        <v>724</v>
      </c>
      <c r="AF22" s="28" t="s">
        <v>745</v>
      </c>
      <c r="AG22" s="28" t="s">
        <v>376</v>
      </c>
      <c r="AH22" s="28" t="s">
        <v>377</v>
      </c>
      <c r="AI22" s="28" t="s">
        <v>378</v>
      </c>
      <c r="AJ22" s="28" t="s">
        <v>379</v>
      </c>
      <c r="AK22" s="28" t="s">
        <v>380</v>
      </c>
      <c r="AL22" s="28" t="s">
        <v>381</v>
      </c>
      <c r="AM22" s="28" t="s">
        <v>382</v>
      </c>
      <c r="AN22" s="28" t="s">
        <v>383</v>
      </c>
      <c r="AO22" s="28" t="s">
        <v>384</v>
      </c>
      <c r="AP22" s="28" t="s">
        <v>385</v>
      </c>
      <c r="AQ22" s="23"/>
      <c r="AR22" s="5" t="s">
        <v>386</v>
      </c>
      <c r="AS22" s="5" t="s">
        <v>387</v>
      </c>
      <c r="AT22" s="5" t="s">
        <v>388</v>
      </c>
      <c r="AU22" s="5" t="s">
        <v>389</v>
      </c>
      <c r="AV22" s="5" t="s">
        <v>390</v>
      </c>
      <c r="AX22" s="5" t="s">
        <v>798</v>
      </c>
      <c r="AY22" s="5" t="s">
        <v>816</v>
      </c>
      <c r="AZ22" s="5" t="s">
        <v>824</v>
      </c>
      <c r="BA22" s="5"/>
      <c r="BB22" s="5" t="s">
        <v>800</v>
      </c>
      <c r="BC22" s="5" t="s">
        <v>793</v>
      </c>
      <c r="BD22" s="5" t="s">
        <v>900</v>
      </c>
      <c r="BE22" s="5" t="s">
        <v>913</v>
      </c>
      <c r="BF22" s="5" t="s">
        <v>883</v>
      </c>
      <c r="BG22" s="5" t="s">
        <v>873</v>
      </c>
      <c r="BH22" s="5" t="s">
        <v>884</v>
      </c>
    </row>
    <row r="23" spans="2:61" x14ac:dyDescent="0.25">
      <c r="C23" s="5" t="s">
        <v>391</v>
      </c>
      <c r="D23" s="5" t="s">
        <v>392</v>
      </c>
      <c r="E23" s="5" t="s">
        <v>393</v>
      </c>
      <c r="F23" s="5" t="s">
        <v>394</v>
      </c>
      <c r="G23" s="14" t="s">
        <v>395</v>
      </c>
      <c r="H23" s="20" t="s">
        <v>396</v>
      </c>
      <c r="I23" s="5" t="s">
        <v>397</v>
      </c>
      <c r="J23" s="5" t="s">
        <v>398</v>
      </c>
      <c r="K23" s="5" t="s">
        <v>399</v>
      </c>
      <c r="M23" s="5" t="s">
        <v>400</v>
      </c>
      <c r="N23" s="5" t="s">
        <v>401</v>
      </c>
      <c r="O23" s="5" t="s">
        <v>402</v>
      </c>
      <c r="P23" s="14" t="s">
        <v>403</v>
      </c>
      <c r="Q23" s="5" t="s">
        <v>404</v>
      </c>
      <c r="R23" s="28" t="s">
        <v>661</v>
      </c>
      <c r="S23" s="28" t="s">
        <v>508</v>
      </c>
      <c r="T23" s="28" t="s">
        <v>480</v>
      </c>
      <c r="U23" s="5" t="s">
        <v>406</v>
      </c>
      <c r="V23" s="28" t="s">
        <v>510</v>
      </c>
      <c r="W23" s="28" t="s">
        <v>680</v>
      </c>
      <c r="X23" s="20" t="s">
        <v>409</v>
      </c>
      <c r="Y23" s="5" t="s">
        <v>410</v>
      </c>
      <c r="Z23" s="5" t="s">
        <v>411</v>
      </c>
      <c r="AA23" s="5" t="s">
        <v>412</v>
      </c>
      <c r="AB23" s="5" t="s">
        <v>413</v>
      </c>
      <c r="AC23" s="9"/>
      <c r="AD23" s="28" t="s">
        <v>714</v>
      </c>
      <c r="AE23" s="28" t="s">
        <v>732</v>
      </c>
      <c r="AF23" s="28"/>
      <c r="AG23" s="28" t="s">
        <v>415</v>
      </c>
      <c r="AH23" s="28" t="s">
        <v>416</v>
      </c>
      <c r="AI23" s="28" t="s">
        <v>417</v>
      </c>
      <c r="AJ23" s="28" t="s">
        <v>418</v>
      </c>
      <c r="AK23" s="28" t="s">
        <v>419</v>
      </c>
      <c r="AL23" s="28" t="s">
        <v>420</v>
      </c>
      <c r="AM23" s="28" t="s">
        <v>421</v>
      </c>
      <c r="AN23" s="28" t="s">
        <v>422</v>
      </c>
      <c r="AO23" s="28" t="s">
        <v>423</v>
      </c>
      <c r="AP23" s="28" t="s">
        <v>424</v>
      </c>
      <c r="AQ23" s="23"/>
      <c r="AR23" s="5" t="s">
        <v>425</v>
      </c>
      <c r="AS23" s="5" t="s">
        <v>426</v>
      </c>
      <c r="AT23" s="5" t="s">
        <v>427</v>
      </c>
      <c r="AU23" s="5" t="s">
        <v>428</v>
      </c>
      <c r="AV23" s="5" t="s">
        <v>429</v>
      </c>
      <c r="AX23" s="5" t="s">
        <v>802</v>
      </c>
      <c r="AY23" s="5" t="s">
        <v>820</v>
      </c>
      <c r="AZ23" s="5" t="s">
        <v>830</v>
      </c>
      <c r="BA23" s="5"/>
      <c r="BB23" s="5" t="s">
        <v>804</v>
      </c>
      <c r="BC23" s="5" t="s">
        <v>797</v>
      </c>
      <c r="BD23" s="5" t="s">
        <v>903</v>
      </c>
      <c r="BE23" s="5" t="s">
        <v>919</v>
      </c>
      <c r="BF23" s="5" t="s">
        <v>886</v>
      </c>
      <c r="BH23" s="5" t="s">
        <v>887</v>
      </c>
    </row>
    <row r="24" spans="2:61" x14ac:dyDescent="0.25">
      <c r="C24" s="5" t="s">
        <v>430</v>
      </c>
      <c r="D24" s="5" t="s">
        <v>431</v>
      </c>
      <c r="E24" s="5" t="s">
        <v>432</v>
      </c>
      <c r="F24" s="5" t="s">
        <v>433</v>
      </c>
      <c r="G24" s="14" t="s">
        <v>434</v>
      </c>
      <c r="H24" s="20" t="s">
        <v>435</v>
      </c>
      <c r="I24" s="5" t="s">
        <v>436</v>
      </c>
      <c r="J24" s="5" t="s">
        <v>437</v>
      </c>
      <c r="K24" s="5" t="s">
        <v>438</v>
      </c>
      <c r="M24" s="5" t="s">
        <v>439</v>
      </c>
      <c r="N24" s="5" t="s">
        <v>440</v>
      </c>
      <c r="O24" s="5" t="s">
        <v>441</v>
      </c>
      <c r="P24" s="14" t="s">
        <v>442</v>
      </c>
      <c r="Q24" s="5" t="s">
        <v>443</v>
      </c>
      <c r="R24" s="28" t="s">
        <v>677</v>
      </c>
      <c r="S24" s="28" t="s">
        <v>561</v>
      </c>
      <c r="T24" s="28" t="s">
        <v>646</v>
      </c>
      <c r="U24" s="5" t="s">
        <v>445</v>
      </c>
      <c r="V24" s="28" t="s">
        <v>537</v>
      </c>
      <c r="W24" s="28" t="s">
        <v>723</v>
      </c>
      <c r="X24" s="5" t="s">
        <v>448</v>
      </c>
      <c r="Y24" s="5" t="s">
        <v>449</v>
      </c>
      <c r="Z24" s="5" t="s">
        <v>450</v>
      </c>
      <c r="AA24" s="5" t="s">
        <v>451</v>
      </c>
      <c r="AB24" s="5" t="s">
        <v>452</v>
      </c>
      <c r="AD24" s="23"/>
      <c r="AE24" s="28"/>
      <c r="AF24" s="28"/>
      <c r="AG24" s="23"/>
      <c r="AH24" s="28" t="s">
        <v>454</v>
      </c>
      <c r="AI24" s="23"/>
      <c r="AJ24" s="23"/>
      <c r="AK24" s="23"/>
      <c r="AL24" s="28" t="s">
        <v>455</v>
      </c>
      <c r="AM24" s="28" t="s">
        <v>456</v>
      </c>
      <c r="AN24" s="28" t="s">
        <v>457</v>
      </c>
      <c r="AO24" s="28" t="s">
        <v>458</v>
      </c>
      <c r="AP24" s="28" t="s">
        <v>459</v>
      </c>
      <c r="AQ24" s="23"/>
      <c r="AR24" s="5" t="s">
        <v>460</v>
      </c>
      <c r="AS24" s="5" t="s">
        <v>461</v>
      </c>
      <c r="AT24" s="5" t="s">
        <v>462</v>
      </c>
      <c r="AU24" s="5" t="s">
        <v>463</v>
      </c>
      <c r="AV24" s="5" t="s">
        <v>464</v>
      </c>
      <c r="AX24" s="5" t="s">
        <v>806</v>
      </c>
      <c r="AY24" s="5" t="s">
        <v>826</v>
      </c>
      <c r="AZ24" s="5" t="s">
        <v>832</v>
      </c>
      <c r="BA24" s="5"/>
      <c r="BB24" s="5"/>
      <c r="BC24" s="5" t="s">
        <v>801</v>
      </c>
      <c r="BD24" s="5" t="s">
        <v>906</v>
      </c>
      <c r="BE24" s="5" t="s">
        <v>923</v>
      </c>
      <c r="BF24" s="5" t="s">
        <v>889</v>
      </c>
      <c r="BH24" s="5" t="s">
        <v>890</v>
      </c>
    </row>
    <row r="25" spans="2:61" x14ac:dyDescent="0.25">
      <c r="C25" s="5" t="s">
        <v>465</v>
      </c>
      <c r="E25" s="5" t="s">
        <v>466</v>
      </c>
      <c r="F25" s="5" t="s">
        <v>467</v>
      </c>
      <c r="G25" s="14" t="s">
        <v>468</v>
      </c>
      <c r="H25" s="20" t="s">
        <v>469</v>
      </c>
      <c r="I25" s="5" t="s">
        <v>470</v>
      </c>
      <c r="J25" s="5" t="s">
        <v>471</v>
      </c>
      <c r="K25" s="5" t="s">
        <v>472</v>
      </c>
      <c r="M25" s="5" t="s">
        <v>473</v>
      </c>
      <c r="O25" s="5" t="s">
        <v>474</v>
      </c>
      <c r="P25" s="14" t="s">
        <v>475</v>
      </c>
      <c r="Q25" s="5" t="s">
        <v>476</v>
      </c>
      <c r="R25" s="28" t="s">
        <v>692</v>
      </c>
      <c r="S25" s="28" t="s">
        <v>605</v>
      </c>
      <c r="T25" s="28" t="s">
        <v>511</v>
      </c>
      <c r="U25" s="5" t="s">
        <v>478</v>
      </c>
      <c r="V25" s="28" t="s">
        <v>563</v>
      </c>
      <c r="W25" s="28" t="s">
        <v>731</v>
      </c>
      <c r="X25" s="5" t="s">
        <v>481</v>
      </c>
      <c r="Y25" s="5" t="s">
        <v>482</v>
      </c>
      <c r="Z25" s="5" t="s">
        <v>483</v>
      </c>
      <c r="AA25" s="5" t="s">
        <v>484</v>
      </c>
      <c r="AB25" s="5" t="s">
        <v>485</v>
      </c>
      <c r="AD25" s="23"/>
      <c r="AE25" s="28"/>
      <c r="AF25" s="28"/>
      <c r="AG25" s="23"/>
      <c r="AH25" s="28" t="s">
        <v>487</v>
      </c>
      <c r="AI25" s="23"/>
      <c r="AJ25" s="23"/>
      <c r="AK25" s="23"/>
      <c r="AL25" s="28" t="s">
        <v>488</v>
      </c>
      <c r="AM25" s="28" t="s">
        <v>489</v>
      </c>
      <c r="AN25" s="28" t="s">
        <v>490</v>
      </c>
      <c r="AO25" s="28" t="s">
        <v>491</v>
      </c>
      <c r="AP25" s="28" t="s">
        <v>492</v>
      </c>
      <c r="AQ25" s="23"/>
      <c r="AR25" s="5" t="s">
        <v>493</v>
      </c>
      <c r="AS25" s="5" t="s">
        <v>494</v>
      </c>
      <c r="AT25" s="5" t="s">
        <v>495</v>
      </c>
      <c r="AU25" s="5" t="s">
        <v>496</v>
      </c>
      <c r="AX25" s="5" t="s">
        <v>809</v>
      </c>
      <c r="AY25" s="5" t="s">
        <v>828</v>
      </c>
      <c r="AZ25" s="5" t="s">
        <v>838</v>
      </c>
      <c r="BA25" s="5"/>
      <c r="BB25" s="5"/>
      <c r="BC25" s="5" t="s">
        <v>805</v>
      </c>
      <c r="BD25" s="5" t="s">
        <v>908</v>
      </c>
      <c r="BE25" s="5" t="s">
        <v>924</v>
      </c>
      <c r="BF25" s="5" t="s">
        <v>892</v>
      </c>
      <c r="BH25" s="5" t="s">
        <v>893</v>
      </c>
    </row>
    <row r="26" spans="2:61" x14ac:dyDescent="0.25">
      <c r="C26" s="5" t="s">
        <v>497</v>
      </c>
      <c r="E26" s="5" t="s">
        <v>498</v>
      </c>
      <c r="F26" s="5" t="s">
        <v>499</v>
      </c>
      <c r="G26" s="14" t="s">
        <v>500</v>
      </c>
      <c r="H26" s="5" t="s">
        <v>501</v>
      </c>
      <c r="I26" s="5" t="s">
        <v>502</v>
      </c>
      <c r="J26" s="5" t="s">
        <v>503</v>
      </c>
      <c r="K26" s="5" t="s">
        <v>504</v>
      </c>
      <c r="M26" s="5" t="s">
        <v>505</v>
      </c>
      <c r="O26" s="5" t="s">
        <v>506</v>
      </c>
      <c r="Q26" s="5" t="s">
        <v>507</v>
      </c>
      <c r="R26" s="28" t="s">
        <v>707</v>
      </c>
      <c r="S26" s="5"/>
      <c r="T26" s="28" t="s">
        <v>538</v>
      </c>
      <c r="U26" s="5" t="s">
        <v>509</v>
      </c>
      <c r="V26" s="28" t="s">
        <v>586</v>
      </c>
      <c r="W26" s="14"/>
      <c r="X26" s="5" t="s">
        <v>512</v>
      </c>
      <c r="Y26" s="5" t="s">
        <v>513</v>
      </c>
      <c r="Z26" s="5" t="s">
        <v>514</v>
      </c>
      <c r="AA26" s="5" t="s">
        <v>515</v>
      </c>
      <c r="AB26" s="5" t="s">
        <v>516</v>
      </c>
      <c r="AD26" s="23"/>
      <c r="AE26" s="28"/>
      <c r="AF26" s="28"/>
      <c r="AG26" s="23"/>
      <c r="AH26" s="28" t="s">
        <v>518</v>
      </c>
      <c r="AI26" s="23"/>
      <c r="AJ26" s="23"/>
      <c r="AK26" s="23"/>
      <c r="AL26" s="28" t="s">
        <v>699</v>
      </c>
      <c r="AM26" s="28" t="s">
        <v>519</v>
      </c>
      <c r="AN26" s="28" t="s">
        <v>520</v>
      </c>
      <c r="AO26" s="28" t="s">
        <v>521</v>
      </c>
      <c r="AP26" s="28" t="s">
        <v>522</v>
      </c>
      <c r="AQ26" s="23"/>
      <c r="AR26" s="5" t="s">
        <v>523</v>
      </c>
      <c r="AS26" s="5" t="s">
        <v>524</v>
      </c>
      <c r="AT26" s="5" t="s">
        <v>525</v>
      </c>
      <c r="AU26" s="5" t="s">
        <v>526</v>
      </c>
      <c r="AX26" s="5" t="s">
        <v>812</v>
      </c>
      <c r="AY26" s="5" t="s">
        <v>834</v>
      </c>
      <c r="AZ26" s="5" t="s">
        <v>839</v>
      </c>
      <c r="BA26" s="5"/>
      <c r="BB26" s="5"/>
      <c r="BC26" s="5" t="s">
        <v>808</v>
      </c>
      <c r="BD26" s="5" t="s">
        <v>909</v>
      </c>
      <c r="BE26" s="5"/>
      <c r="BF26" s="5" t="s">
        <v>895</v>
      </c>
      <c r="BH26" s="5" t="s">
        <v>896</v>
      </c>
    </row>
    <row r="27" spans="2:61" x14ac:dyDescent="0.25">
      <c r="C27" s="5" t="s">
        <v>527</v>
      </c>
      <c r="F27" s="5" t="s">
        <v>528</v>
      </c>
      <c r="G27" s="14" t="s">
        <v>529</v>
      </c>
      <c r="H27" s="5" t="s">
        <v>530</v>
      </c>
      <c r="I27" s="5" t="s">
        <v>531</v>
      </c>
      <c r="J27" s="5" t="s">
        <v>532</v>
      </c>
      <c r="M27" s="5" t="s">
        <v>533</v>
      </c>
      <c r="Q27" s="5" t="s">
        <v>534</v>
      </c>
      <c r="R27" s="5"/>
      <c r="S27" s="5"/>
      <c r="T27" s="28" t="s">
        <v>564</v>
      </c>
      <c r="U27" s="5" t="s">
        <v>536</v>
      </c>
      <c r="V27" s="28" t="s">
        <v>607</v>
      </c>
      <c r="W27" s="14"/>
      <c r="X27" s="5" t="s">
        <v>539</v>
      </c>
      <c r="Y27" s="5" t="s">
        <v>540</v>
      </c>
      <c r="Z27" s="5" t="s">
        <v>541</v>
      </c>
      <c r="AA27" s="5" t="s">
        <v>542</v>
      </c>
      <c r="AB27" s="5" t="s">
        <v>543</v>
      </c>
      <c r="AE27" s="5"/>
      <c r="AF27" s="5"/>
      <c r="AH27" s="5" t="s">
        <v>545</v>
      </c>
      <c r="AM27" s="28" t="s">
        <v>546</v>
      </c>
      <c r="AN27" s="28" t="s">
        <v>547</v>
      </c>
      <c r="AO27" s="28" t="s">
        <v>548</v>
      </c>
      <c r="AP27" s="28" t="s">
        <v>549</v>
      </c>
      <c r="AQ27" s="23"/>
      <c r="AR27" s="5" t="s">
        <v>550</v>
      </c>
      <c r="AS27" s="5" t="s">
        <v>551</v>
      </c>
      <c r="AT27" s="5" t="s">
        <v>552</v>
      </c>
      <c r="AU27" s="5" t="s">
        <v>553</v>
      </c>
      <c r="AX27" s="5" t="s">
        <v>815</v>
      </c>
      <c r="AY27" s="5" t="s">
        <v>836</v>
      </c>
      <c r="AZ27" s="5" t="s">
        <v>841</v>
      </c>
      <c r="BA27" s="5"/>
      <c r="BB27" s="5"/>
      <c r="BC27" s="5" t="s">
        <v>811</v>
      </c>
      <c r="BD27" s="5" t="s">
        <v>911</v>
      </c>
      <c r="BE27" s="5"/>
      <c r="BF27" s="5" t="s">
        <v>898</v>
      </c>
      <c r="BH27" s="5" t="s">
        <v>899</v>
      </c>
    </row>
    <row r="28" spans="2:61" x14ac:dyDescent="0.25">
      <c r="C28" s="5" t="s">
        <v>554</v>
      </c>
      <c r="F28" s="5" t="s">
        <v>555</v>
      </c>
      <c r="G28" s="14" t="s">
        <v>556</v>
      </c>
      <c r="H28" s="5" t="s">
        <v>557</v>
      </c>
      <c r="I28" s="5" t="s">
        <v>558</v>
      </c>
      <c r="M28" s="5" t="s">
        <v>559</v>
      </c>
      <c r="Q28" s="5" t="s">
        <v>560</v>
      </c>
      <c r="R28" s="5"/>
      <c r="S28" s="5"/>
      <c r="T28" s="28" t="s">
        <v>709</v>
      </c>
      <c r="U28" s="5" t="s">
        <v>562</v>
      </c>
      <c r="V28" s="28" t="s">
        <v>627</v>
      </c>
      <c r="W28" s="14"/>
      <c r="X28" s="5" t="s">
        <v>565</v>
      </c>
      <c r="Y28" s="5" t="s">
        <v>566</v>
      </c>
      <c r="Z28" s="5" t="s">
        <v>567</v>
      </c>
      <c r="AA28" s="5" t="s">
        <v>568</v>
      </c>
      <c r="AB28" s="5" t="s">
        <v>569</v>
      </c>
      <c r="AE28" s="5"/>
      <c r="AF28" s="5"/>
      <c r="AH28" s="5" t="s">
        <v>571</v>
      </c>
      <c r="AM28" s="28" t="s">
        <v>572</v>
      </c>
      <c r="AN28" s="28" t="s">
        <v>573</v>
      </c>
      <c r="AO28" s="28" t="s">
        <v>574</v>
      </c>
      <c r="AP28" s="28" t="s">
        <v>575</v>
      </c>
      <c r="AQ28" s="23"/>
      <c r="AR28" s="5" t="s">
        <v>576</v>
      </c>
      <c r="AS28" s="5" t="s">
        <v>577</v>
      </c>
      <c r="AT28" s="5" t="s">
        <v>578</v>
      </c>
      <c r="AU28" s="5" t="s">
        <v>579</v>
      </c>
      <c r="AX28" s="5" t="s">
        <v>817</v>
      </c>
      <c r="AY28" s="5" t="s">
        <v>840</v>
      </c>
      <c r="AZ28" s="5"/>
      <c r="BA28" s="5"/>
      <c r="BB28" s="5"/>
      <c r="BC28" s="5" t="s">
        <v>814</v>
      </c>
      <c r="BD28" s="5" t="s">
        <v>912</v>
      </c>
      <c r="BE28" s="5"/>
      <c r="BF28" s="5" t="s">
        <v>901</v>
      </c>
      <c r="BH28" s="5" t="s">
        <v>902</v>
      </c>
    </row>
    <row r="29" spans="2:61" x14ac:dyDescent="0.25">
      <c r="F29" s="5" t="s">
        <v>580</v>
      </c>
      <c r="G29" s="9"/>
      <c r="H29" s="5" t="s">
        <v>581</v>
      </c>
      <c r="I29" s="5" t="s">
        <v>582</v>
      </c>
      <c r="Q29" s="5" t="s">
        <v>583</v>
      </c>
      <c r="R29" s="5"/>
      <c r="S29" s="5"/>
      <c r="T29" s="28" t="s">
        <v>722</v>
      </c>
      <c r="U29" s="5" t="s">
        <v>585</v>
      </c>
      <c r="V29" s="28" t="s">
        <v>663</v>
      </c>
      <c r="W29" s="14"/>
      <c r="X29" s="5" t="s">
        <v>588</v>
      </c>
      <c r="Y29" s="5" t="s">
        <v>589</v>
      </c>
      <c r="Z29" s="5" t="s">
        <v>590</v>
      </c>
      <c r="AA29" s="5" t="s">
        <v>591</v>
      </c>
      <c r="AB29" s="5" t="s">
        <v>592</v>
      </c>
      <c r="AE29" s="5"/>
      <c r="AF29" s="5"/>
      <c r="AM29" s="28" t="s">
        <v>594</v>
      </c>
      <c r="AN29" s="28" t="s">
        <v>595</v>
      </c>
      <c r="AO29" s="28" t="s">
        <v>596</v>
      </c>
      <c r="AP29" s="28" t="s">
        <v>597</v>
      </c>
      <c r="AQ29" s="23"/>
      <c r="AR29" s="5" t="s">
        <v>598</v>
      </c>
      <c r="AS29" s="5" t="s">
        <v>599</v>
      </c>
      <c r="AU29" s="5" t="s">
        <v>600</v>
      </c>
      <c r="AX29" s="5" t="s">
        <v>819</v>
      </c>
      <c r="AY29" s="5" t="s">
        <v>842</v>
      </c>
      <c r="AZ29" s="5"/>
      <c r="BB29" s="5"/>
      <c r="BD29" s="5" t="s">
        <v>914</v>
      </c>
      <c r="BE29" s="5"/>
      <c r="BF29" s="5" t="s">
        <v>904</v>
      </c>
      <c r="BH29" s="5" t="s">
        <v>905</v>
      </c>
    </row>
    <row r="30" spans="2:61" x14ac:dyDescent="0.25">
      <c r="F30" s="5" t="s">
        <v>601</v>
      </c>
      <c r="G30" s="9"/>
      <c r="H30" s="5" t="s">
        <v>602</v>
      </c>
      <c r="I30" s="5" t="s">
        <v>603</v>
      </c>
      <c r="Q30" s="5" t="s">
        <v>604</v>
      </c>
      <c r="R30" s="5"/>
      <c r="S30" s="5"/>
      <c r="T30" s="28" t="s">
        <v>628</v>
      </c>
      <c r="U30" s="5" t="s">
        <v>606</v>
      </c>
      <c r="V30" s="28" t="s">
        <v>679</v>
      </c>
      <c r="W30" s="14"/>
      <c r="X30" s="5" t="s">
        <v>609</v>
      </c>
      <c r="Y30" s="5" t="s">
        <v>610</v>
      </c>
      <c r="Z30" s="5" t="s">
        <v>611</v>
      </c>
      <c r="AA30" s="5" t="s">
        <v>612</v>
      </c>
      <c r="AB30" s="5" t="s">
        <v>613</v>
      </c>
      <c r="AE30" s="5"/>
      <c r="AF30" s="5"/>
      <c r="AM30" s="28" t="s">
        <v>615</v>
      </c>
      <c r="AN30" s="28" t="s">
        <v>616</v>
      </c>
      <c r="AO30" s="28" t="s">
        <v>617</v>
      </c>
      <c r="AP30" s="28" t="s">
        <v>618</v>
      </c>
      <c r="AQ30" s="23"/>
      <c r="AR30" s="5" t="s">
        <v>619</v>
      </c>
      <c r="AS30" s="5" t="s">
        <v>620</v>
      </c>
      <c r="AU30" s="5" t="s">
        <v>621</v>
      </c>
      <c r="AX30" s="5" t="s">
        <v>821</v>
      </c>
      <c r="AY30" s="5"/>
      <c r="AZ30" s="5"/>
      <c r="BB30" s="5"/>
      <c r="BD30" s="5" t="s">
        <v>915</v>
      </c>
      <c r="BE30" s="5"/>
      <c r="BH30" s="5" t="s">
        <v>907</v>
      </c>
    </row>
    <row r="31" spans="2:61" x14ac:dyDescent="0.25">
      <c r="F31" s="5" t="s">
        <v>622</v>
      </c>
      <c r="G31" s="9"/>
      <c r="I31" s="5" t="s">
        <v>623</v>
      </c>
      <c r="Q31" s="5" t="s">
        <v>624</v>
      </c>
      <c r="R31" s="5"/>
      <c r="S31" s="5"/>
      <c r="T31" s="28" t="s">
        <v>736</v>
      </c>
      <c r="U31" s="5" t="s">
        <v>626</v>
      </c>
      <c r="V31" s="28" t="s">
        <v>694</v>
      </c>
      <c r="W31" s="14"/>
      <c r="X31" s="5" t="s">
        <v>629</v>
      </c>
      <c r="Y31" s="5" t="s">
        <v>630</v>
      </c>
      <c r="Z31" s="5" t="s">
        <v>631</v>
      </c>
      <c r="AA31" s="5" t="s">
        <v>632</v>
      </c>
      <c r="AB31" s="5" t="s">
        <v>633</v>
      </c>
      <c r="AE31" s="5"/>
      <c r="AF31" s="5"/>
      <c r="AM31" s="28" t="s">
        <v>635</v>
      </c>
      <c r="AN31" s="28" t="s">
        <v>636</v>
      </c>
      <c r="AO31" s="28" t="s">
        <v>637</v>
      </c>
      <c r="AP31" s="28" t="s">
        <v>638</v>
      </c>
      <c r="AQ31" s="23"/>
      <c r="AR31" s="5" t="s">
        <v>639</v>
      </c>
      <c r="AS31" s="5" t="s">
        <v>640</v>
      </c>
      <c r="AU31" s="5" t="s">
        <v>641</v>
      </c>
      <c r="AX31" s="5" t="s">
        <v>823</v>
      </c>
      <c r="AY31" s="5"/>
      <c r="AZ31" s="5"/>
      <c r="BB31" s="5"/>
      <c r="BD31" s="5" t="s">
        <v>916</v>
      </c>
      <c r="BE31" s="5"/>
    </row>
    <row r="32" spans="2:61" x14ac:dyDescent="0.25">
      <c r="I32" s="5" t="s">
        <v>642</v>
      </c>
      <c r="Q32" s="5" t="s">
        <v>643</v>
      </c>
      <c r="R32" s="5"/>
      <c r="S32" s="5"/>
      <c r="T32" s="28" t="s">
        <v>741</v>
      </c>
      <c r="U32" s="5" t="s">
        <v>645</v>
      </c>
      <c r="V32" s="28" t="s">
        <v>730</v>
      </c>
      <c r="W32" s="14"/>
      <c r="X32" s="5" t="s">
        <v>648</v>
      </c>
      <c r="Z32" s="5" t="s">
        <v>649</v>
      </c>
      <c r="AA32" s="5" t="s">
        <v>650</v>
      </c>
      <c r="AB32" s="5" t="s">
        <v>651</v>
      </c>
      <c r="AE32" s="5"/>
      <c r="AF32" s="5"/>
      <c r="AM32" s="28" t="s">
        <v>653</v>
      </c>
      <c r="AN32" s="28" t="s">
        <v>654</v>
      </c>
      <c r="AO32" s="23"/>
      <c r="AP32" s="28" t="s">
        <v>655</v>
      </c>
      <c r="AQ32" s="23"/>
      <c r="AR32" s="5" t="s">
        <v>656</v>
      </c>
      <c r="AS32" s="5" t="s">
        <v>657</v>
      </c>
      <c r="AU32" s="5" t="s">
        <v>658</v>
      </c>
      <c r="AX32" s="5" t="s">
        <v>825</v>
      </c>
      <c r="AY32" s="5"/>
      <c r="AZ32" s="5"/>
      <c r="BB32" s="5"/>
      <c r="BD32" s="5" t="s">
        <v>917</v>
      </c>
      <c r="BE32" s="5"/>
    </row>
    <row r="33" spans="1:57" x14ac:dyDescent="0.25">
      <c r="I33" s="5" t="s">
        <v>659</v>
      </c>
      <c r="Q33" s="5" t="s">
        <v>660</v>
      </c>
      <c r="R33" s="5"/>
      <c r="S33" s="5"/>
      <c r="T33" s="28" t="s">
        <v>695</v>
      </c>
      <c r="U33" s="5" t="s">
        <v>662</v>
      </c>
      <c r="V33" s="28" t="s">
        <v>744</v>
      </c>
      <c r="W33" s="14"/>
      <c r="X33" s="5" t="s">
        <v>665</v>
      </c>
      <c r="Z33" s="5" t="s">
        <v>666</v>
      </c>
      <c r="AA33" s="5" t="s">
        <v>667</v>
      </c>
      <c r="AE33" s="5"/>
      <c r="AF33" s="5"/>
      <c r="AM33" s="28" t="s">
        <v>669</v>
      </c>
      <c r="AN33" s="28" t="s">
        <v>670</v>
      </c>
      <c r="AO33" s="23"/>
      <c r="AP33" s="28" t="s">
        <v>671</v>
      </c>
      <c r="AQ33" s="23"/>
      <c r="AR33" s="5" t="s">
        <v>672</v>
      </c>
      <c r="AS33" s="5" t="s">
        <v>673</v>
      </c>
      <c r="AU33" s="5" t="s">
        <v>674</v>
      </c>
      <c r="AX33" s="5" t="s">
        <v>827</v>
      </c>
      <c r="AY33" s="5"/>
      <c r="AZ33" s="5"/>
      <c r="BB33" s="5"/>
      <c r="BD33" s="5" t="s">
        <v>918</v>
      </c>
      <c r="BE33" s="5"/>
    </row>
    <row r="34" spans="1:57" x14ac:dyDescent="0.25">
      <c r="I34" s="5" t="s">
        <v>675</v>
      </c>
      <c r="Q34" s="5" t="s">
        <v>676</v>
      </c>
      <c r="R34" s="5"/>
      <c r="S34" s="5"/>
      <c r="T34" s="28" t="s">
        <v>710</v>
      </c>
      <c r="U34" s="5" t="s">
        <v>678</v>
      </c>
      <c r="V34" s="28" t="s">
        <v>747</v>
      </c>
      <c r="W34" s="14"/>
      <c r="X34" s="5" t="s">
        <v>681</v>
      </c>
      <c r="Z34" s="5" t="s">
        <v>682</v>
      </c>
      <c r="AA34" s="5" t="s">
        <v>683</v>
      </c>
      <c r="AE34" s="5"/>
      <c r="AF34" s="5"/>
      <c r="AM34" s="28" t="s">
        <v>685</v>
      </c>
      <c r="AN34" s="23"/>
      <c r="AO34" s="23"/>
      <c r="AP34" s="28" t="s">
        <v>686</v>
      </c>
      <c r="AQ34" s="23"/>
      <c r="AR34" s="5" t="s">
        <v>687</v>
      </c>
      <c r="AS34" s="5" t="s">
        <v>688</v>
      </c>
      <c r="AU34" s="5" t="s">
        <v>689</v>
      </c>
      <c r="AX34" s="5" t="s">
        <v>829</v>
      </c>
      <c r="AY34" s="5"/>
      <c r="AZ34" s="5"/>
      <c r="BB34" s="5"/>
      <c r="BD34" s="5" t="s">
        <v>920</v>
      </c>
      <c r="BE34" s="5"/>
    </row>
    <row r="35" spans="1:57" x14ac:dyDescent="0.25">
      <c r="I35" s="5" t="s">
        <v>690</v>
      </c>
      <c r="Q35" s="5" t="s">
        <v>691</v>
      </c>
      <c r="R35" s="5"/>
      <c r="S35" s="5"/>
      <c r="T35" s="5"/>
      <c r="U35" s="5" t="s">
        <v>693</v>
      </c>
      <c r="V35" s="28" t="s">
        <v>749</v>
      </c>
      <c r="W35" s="14"/>
      <c r="X35" s="5" t="s">
        <v>696</v>
      </c>
      <c r="Z35" s="5" t="s">
        <v>697</v>
      </c>
      <c r="AA35" s="5" t="s">
        <v>698</v>
      </c>
      <c r="AE35" s="5"/>
      <c r="AF35" s="5"/>
      <c r="AM35" s="28" t="s">
        <v>700</v>
      </c>
      <c r="AN35" s="23"/>
      <c r="AO35" s="23"/>
      <c r="AP35" s="28" t="s">
        <v>701</v>
      </c>
      <c r="AQ35" s="23"/>
      <c r="AR35" s="5" t="s">
        <v>702</v>
      </c>
      <c r="AS35" s="5" t="s">
        <v>703</v>
      </c>
      <c r="AU35" s="5" t="s">
        <v>704</v>
      </c>
      <c r="AX35" s="5" t="s">
        <v>831</v>
      </c>
      <c r="AY35" s="5"/>
      <c r="AZ35" s="5"/>
      <c r="BB35" s="5"/>
      <c r="BD35" s="5" t="s">
        <v>921</v>
      </c>
      <c r="BE35" s="5"/>
    </row>
    <row r="36" spans="1:57" x14ac:dyDescent="0.25">
      <c r="I36" s="5" t="s">
        <v>705</v>
      </c>
      <c r="Q36" s="5" t="s">
        <v>706</v>
      </c>
      <c r="R36" s="5"/>
      <c r="S36" s="5"/>
      <c r="T36" s="5"/>
      <c r="U36" s="5" t="s">
        <v>708</v>
      </c>
      <c r="V36" s="5"/>
      <c r="W36" s="14"/>
      <c r="X36" s="5" t="s">
        <v>711</v>
      </c>
      <c r="Z36" s="5" t="s">
        <v>712</v>
      </c>
      <c r="AA36" s="5" t="s">
        <v>713</v>
      </c>
      <c r="AE36" s="5"/>
      <c r="AF36" s="5"/>
      <c r="AM36" s="28" t="s">
        <v>715</v>
      </c>
      <c r="AN36" s="23"/>
      <c r="AO36" s="23"/>
      <c r="AP36" s="23"/>
      <c r="AQ36" s="23"/>
      <c r="AR36" s="5" t="s">
        <v>716</v>
      </c>
      <c r="AS36" s="5" t="s">
        <v>717</v>
      </c>
      <c r="AU36" s="5" t="s">
        <v>718</v>
      </c>
      <c r="AX36" s="5" t="s">
        <v>833</v>
      </c>
      <c r="AY36" s="5"/>
      <c r="AZ36" s="5"/>
      <c r="BB36" s="5"/>
      <c r="BD36" s="5" t="s">
        <v>922</v>
      </c>
      <c r="BE36" s="5"/>
    </row>
    <row r="37" spans="1:57" x14ac:dyDescent="0.25">
      <c r="I37" s="5" t="s">
        <v>719</v>
      </c>
      <c r="Q37" s="5" t="s">
        <v>720</v>
      </c>
      <c r="R37" s="5"/>
      <c r="U37" s="5" t="s">
        <v>721</v>
      </c>
      <c r="V37" s="5"/>
      <c r="W37" s="14"/>
      <c r="AE37" s="5"/>
      <c r="AF37" s="5"/>
      <c r="AM37" s="28" t="s">
        <v>725</v>
      </c>
      <c r="AN37" s="23"/>
      <c r="AO37" s="23"/>
      <c r="AP37" s="23"/>
      <c r="AQ37" s="23"/>
      <c r="AR37" s="5" t="s">
        <v>726</v>
      </c>
      <c r="AS37" s="5" t="s">
        <v>727</v>
      </c>
      <c r="AU37" s="5" t="s">
        <v>728</v>
      </c>
      <c r="AX37" s="5" t="s">
        <v>835</v>
      </c>
      <c r="AY37" s="5"/>
      <c r="AZ37" s="5"/>
      <c r="BB37" s="5"/>
      <c r="BD37" s="5" t="s">
        <v>925</v>
      </c>
      <c r="BE37" s="5"/>
    </row>
    <row r="38" spans="1:57" x14ac:dyDescent="0.25">
      <c r="R38" s="5"/>
      <c r="U38" s="5" t="s">
        <v>729</v>
      </c>
      <c r="V38" s="5"/>
      <c r="W38" s="14"/>
      <c r="AE38" s="5"/>
      <c r="AF38" s="5"/>
      <c r="AS38" s="5" t="s">
        <v>733</v>
      </c>
      <c r="AU38" s="5" t="s">
        <v>734</v>
      </c>
      <c r="AX38" t="s">
        <v>837</v>
      </c>
      <c r="AY38" s="5"/>
      <c r="AZ38" s="5"/>
      <c r="BB38" s="5"/>
      <c r="BD38" s="5" t="s">
        <v>926</v>
      </c>
      <c r="BE38" s="5"/>
    </row>
    <row r="39" spans="1:57" x14ac:dyDescent="0.25">
      <c r="H39">
        <f>(H36-49.9)/(64.9-49.9)</f>
        <v>-3.3266666666666649</v>
      </c>
      <c r="I39" t="e">
        <f t="shared" ref="I39:P39" si="116">(I36-49.9)/(64.9-49.9)</f>
        <v>#VALUE!</v>
      </c>
      <c r="J39">
        <f t="shared" si="116"/>
        <v>-3.3266666666666649</v>
      </c>
      <c r="K39">
        <f t="shared" si="116"/>
        <v>-3.3266666666666649</v>
      </c>
      <c r="L39">
        <f t="shared" si="116"/>
        <v>-3.3266666666666649</v>
      </c>
      <c r="M39">
        <f t="shared" si="116"/>
        <v>-3.3266666666666649</v>
      </c>
      <c r="N39">
        <f t="shared" si="116"/>
        <v>-3.3266666666666649</v>
      </c>
      <c r="O39">
        <f t="shared" si="116"/>
        <v>-3.3266666666666649</v>
      </c>
      <c r="P39">
        <f t="shared" si="116"/>
        <v>-3.3266666666666649</v>
      </c>
      <c r="R39" s="5"/>
      <c r="U39" s="5" t="s">
        <v>735</v>
      </c>
      <c r="V39" s="5"/>
      <c r="AE39" s="5"/>
      <c r="AF39" s="5"/>
      <c r="AS39" s="5" t="s">
        <v>738</v>
      </c>
      <c r="AU39" s="5" t="s">
        <v>739</v>
      </c>
      <c r="AY39" s="5"/>
      <c r="AZ39" s="5"/>
      <c r="BB39" s="5"/>
      <c r="BD39" s="5" t="s">
        <v>927</v>
      </c>
      <c r="BE39" s="5"/>
    </row>
    <row r="40" spans="1:57" x14ac:dyDescent="0.25">
      <c r="R40" s="5"/>
      <c r="U40" s="5" t="s">
        <v>740</v>
      </c>
      <c r="V40" s="5"/>
      <c r="AE40" s="5"/>
      <c r="AF40" s="5"/>
      <c r="BD40" s="5"/>
      <c r="BE40" s="5"/>
    </row>
    <row r="41" spans="1:57" x14ac:dyDescent="0.25">
      <c r="R41" s="5"/>
      <c r="U41" s="5" t="s">
        <v>743</v>
      </c>
      <c r="V41" s="5"/>
      <c r="AE41" s="5"/>
      <c r="AF41" s="5"/>
      <c r="BD41" s="5"/>
      <c r="BE41" s="5"/>
    </row>
    <row r="42" spans="1:57" x14ac:dyDescent="0.25">
      <c r="A42" s="4" t="s">
        <v>53</v>
      </c>
      <c r="R42" s="5"/>
      <c r="U42" s="5" t="s">
        <v>746</v>
      </c>
      <c r="V42" s="5"/>
      <c r="BD42" s="5"/>
      <c r="BE42" s="5"/>
    </row>
    <row r="43" spans="1:57" x14ac:dyDescent="0.25">
      <c r="R43" s="5"/>
      <c r="U43" s="5" t="s">
        <v>748</v>
      </c>
      <c r="V43" s="5"/>
      <c r="BD43" s="5"/>
      <c r="BE43" s="5"/>
    </row>
    <row r="44" spans="1:57" x14ac:dyDescent="0.25">
      <c r="R44" s="5"/>
      <c r="U44" s="5" t="s">
        <v>750</v>
      </c>
      <c r="BD44" s="5"/>
      <c r="BE44" s="5"/>
    </row>
    <row r="45" spans="1:57" x14ac:dyDescent="0.25">
      <c r="R45" s="5"/>
      <c r="BD45" s="5"/>
      <c r="BE45" s="5"/>
    </row>
    <row r="46" spans="1:57" x14ac:dyDescent="0.25">
      <c r="R46" s="5"/>
      <c r="BD46" s="5"/>
      <c r="BE46" s="5"/>
    </row>
    <row r="47" spans="1:57" x14ac:dyDescent="0.25">
      <c r="R47" s="5"/>
      <c r="BD47" s="5"/>
      <c r="BE47" s="5"/>
    </row>
    <row r="48" spans="1:57" x14ac:dyDescent="0.25">
      <c r="R48" s="5"/>
      <c r="BD48" s="5"/>
      <c r="BE48" s="5"/>
    </row>
    <row r="49" spans="56:57" x14ac:dyDescent="0.25">
      <c r="BD49" s="5"/>
      <c r="BE49" s="5"/>
    </row>
    <row r="50" spans="56:57" x14ac:dyDescent="0.25">
      <c r="BD50" s="5"/>
      <c r="BE50" s="5"/>
    </row>
  </sheetData>
  <mergeCells count="9">
    <mergeCell ref="AX1:BC1"/>
    <mergeCell ref="BD1:BI1"/>
    <mergeCell ref="AM1:AQ1"/>
    <mergeCell ref="AR1:AW1"/>
    <mergeCell ref="B1:G1"/>
    <mergeCell ref="H1:P1"/>
    <mergeCell ref="Q1:W1"/>
    <mergeCell ref="X1:AC1"/>
    <mergeCell ref="AD1:AL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F440-813D-49E1-90A7-4519E01DE122}">
  <dimension ref="A1:BI39"/>
  <sheetViews>
    <sheetView tabSelected="1" topLeftCell="AB1" workbookViewId="0">
      <selection activeCell="AI8" sqref="AI8"/>
    </sheetView>
  </sheetViews>
  <sheetFormatPr defaultColWidth="8.7109375" defaultRowHeight="15" x14ac:dyDescent="0.25"/>
  <cols>
    <col min="1" max="1" width="20" customWidth="1"/>
    <col min="2" max="2" width="15" customWidth="1"/>
    <col min="3" max="4" width="16" customWidth="1"/>
    <col min="5" max="5" width="15" customWidth="1"/>
    <col min="6" max="6" width="16" customWidth="1"/>
    <col min="7" max="9" width="15" customWidth="1"/>
    <col min="10" max="10" width="17" customWidth="1"/>
    <col min="11" max="13" width="15" customWidth="1"/>
    <col min="14" max="16" width="17" customWidth="1"/>
    <col min="17" max="18" width="15" customWidth="1"/>
    <col min="19" max="20" width="18" customWidth="1"/>
    <col min="21" max="21" width="20" customWidth="1"/>
    <col min="22" max="22" width="15" customWidth="1"/>
    <col min="23" max="24" width="18" customWidth="1"/>
    <col min="25" max="31" width="15" customWidth="1"/>
    <col min="32" max="32" width="17" customWidth="1"/>
    <col min="33" max="39" width="15" customWidth="1"/>
    <col min="40" max="40" width="20" customWidth="1"/>
    <col min="41" max="41" width="23" customWidth="1"/>
    <col min="42" max="43" width="20" customWidth="1"/>
  </cols>
  <sheetData>
    <row r="1" spans="1:61" x14ac:dyDescent="0.25">
      <c r="A1" s="1" t="s">
        <v>0</v>
      </c>
      <c r="B1" s="38" t="s">
        <v>1</v>
      </c>
      <c r="C1" s="38"/>
      <c r="D1" s="38"/>
      <c r="E1" s="38"/>
      <c r="F1" s="37" t="s">
        <v>2</v>
      </c>
      <c r="G1" s="37"/>
      <c r="H1" s="37"/>
      <c r="I1" s="37"/>
      <c r="J1" s="37"/>
      <c r="K1" s="38" t="s">
        <v>3</v>
      </c>
      <c r="L1" s="38"/>
      <c r="M1" s="38"/>
      <c r="N1" s="38"/>
      <c r="O1" s="38"/>
      <c r="P1" s="38"/>
      <c r="Q1" s="37" t="s">
        <v>4</v>
      </c>
      <c r="R1" s="37"/>
      <c r="S1" s="37"/>
      <c r="T1" s="37"/>
      <c r="U1" s="37"/>
      <c r="V1" s="38" t="s">
        <v>5</v>
      </c>
      <c r="W1" s="38"/>
      <c r="X1" s="38"/>
      <c r="Y1" s="38"/>
      <c r="Z1" s="38"/>
      <c r="AA1" s="37" t="s">
        <v>6</v>
      </c>
      <c r="AB1" s="37"/>
      <c r="AC1" s="37"/>
      <c r="AD1" s="37"/>
      <c r="AE1" s="38" t="s">
        <v>843</v>
      </c>
      <c r="AF1" s="38"/>
      <c r="AG1" s="38"/>
      <c r="AH1" s="38"/>
      <c r="AI1" s="37" t="s">
        <v>7</v>
      </c>
      <c r="AJ1" s="37"/>
      <c r="AK1" s="37"/>
      <c r="AL1" s="37"/>
      <c r="AM1" s="37"/>
      <c r="AN1" s="38" t="s">
        <v>758</v>
      </c>
      <c r="AO1" s="38"/>
      <c r="AP1" s="38"/>
      <c r="AQ1" s="38"/>
    </row>
    <row r="2" spans="1:61" x14ac:dyDescent="0.25">
      <c r="A2" s="1" t="s">
        <v>932</v>
      </c>
      <c r="B2" s="2" t="s">
        <v>933</v>
      </c>
      <c r="C2" s="2" t="s">
        <v>934</v>
      </c>
      <c r="D2" s="2" t="s">
        <v>935</v>
      </c>
      <c r="E2" s="2" t="s">
        <v>936</v>
      </c>
      <c r="F2" s="2" t="s">
        <v>937</v>
      </c>
      <c r="G2" s="2" t="s">
        <v>938</v>
      </c>
      <c r="H2" s="2" t="s">
        <v>939</v>
      </c>
      <c r="I2" s="2" t="s">
        <v>940</v>
      </c>
      <c r="J2" s="2" t="s">
        <v>941</v>
      </c>
      <c r="K2" s="2" t="s">
        <v>942</v>
      </c>
      <c r="L2" s="2" t="s">
        <v>943</v>
      </c>
      <c r="M2" s="2" t="s">
        <v>944</v>
      </c>
      <c r="N2" s="2" t="s">
        <v>945</v>
      </c>
      <c r="O2" s="2" t="s">
        <v>946</v>
      </c>
      <c r="P2" s="2" t="s">
        <v>947</v>
      </c>
      <c r="Q2" s="2" t="s">
        <v>948</v>
      </c>
      <c r="R2" s="2" t="s">
        <v>949</v>
      </c>
      <c r="S2" s="2" t="s">
        <v>950</v>
      </c>
      <c r="T2" s="2" t="s">
        <v>951</v>
      </c>
      <c r="U2" s="2" t="s">
        <v>952</v>
      </c>
      <c r="V2" s="2" t="s">
        <v>953</v>
      </c>
      <c r="W2" s="2" t="s">
        <v>954</v>
      </c>
      <c r="X2" s="2" t="s">
        <v>955</v>
      </c>
      <c r="Y2" s="2" t="s">
        <v>956</v>
      </c>
      <c r="Z2" s="2" t="s">
        <v>957</v>
      </c>
      <c r="AA2" s="2" t="s">
        <v>958</v>
      </c>
      <c r="AB2" s="2" t="s">
        <v>959</v>
      </c>
      <c r="AC2" s="2" t="s">
        <v>960</v>
      </c>
      <c r="AD2" s="2" t="s">
        <v>961</v>
      </c>
      <c r="AE2" s="2" t="s">
        <v>962</v>
      </c>
      <c r="AF2" s="2" t="s">
        <v>963</v>
      </c>
      <c r="AG2" s="2" t="s">
        <v>964</v>
      </c>
      <c r="AH2" s="2" t="s">
        <v>965</v>
      </c>
      <c r="AI2" s="2" t="s">
        <v>966</v>
      </c>
      <c r="AJ2" s="2" t="s">
        <v>967</v>
      </c>
      <c r="AK2" s="2" t="s">
        <v>968</v>
      </c>
      <c r="AL2" s="2" t="s">
        <v>969</v>
      </c>
      <c r="AM2" s="2" t="s">
        <v>970</v>
      </c>
      <c r="AN2" s="2" t="s">
        <v>971</v>
      </c>
      <c r="AO2" s="2" t="s">
        <v>972</v>
      </c>
      <c r="AP2" s="2" t="s">
        <v>973</v>
      </c>
      <c r="AQ2" s="2" t="s">
        <v>974</v>
      </c>
    </row>
    <row r="3" spans="1:61" x14ac:dyDescent="0.25">
      <c r="A3" s="1" t="s">
        <v>50</v>
      </c>
      <c r="B3" s="3">
        <f t="shared" ref="B3:AQ3" si="0">COUNTA(B15:B206)</f>
        <v>18</v>
      </c>
      <c r="C3" s="3">
        <f t="shared" si="0"/>
        <v>20</v>
      </c>
      <c r="D3" s="3">
        <f t="shared" si="0"/>
        <v>18</v>
      </c>
      <c r="E3" s="3">
        <f t="shared" si="0"/>
        <v>18</v>
      </c>
      <c r="F3" s="3">
        <f t="shared" si="0"/>
        <v>20</v>
      </c>
      <c r="G3" s="3">
        <f t="shared" si="0"/>
        <v>24</v>
      </c>
      <c r="H3" s="3">
        <f t="shared" si="0"/>
        <v>24</v>
      </c>
      <c r="I3" s="3">
        <f t="shared" si="0"/>
        <v>24</v>
      </c>
      <c r="J3" s="3">
        <f t="shared" si="0"/>
        <v>24</v>
      </c>
      <c r="K3" s="3">
        <f t="shared" si="0"/>
        <v>18</v>
      </c>
      <c r="L3" s="3">
        <f t="shared" si="0"/>
        <v>18</v>
      </c>
      <c r="M3" s="3">
        <f t="shared" si="0"/>
        <v>20</v>
      </c>
      <c r="N3" s="3">
        <f t="shared" si="0"/>
        <v>24</v>
      </c>
      <c r="O3" s="3">
        <f t="shared" si="0"/>
        <v>24</v>
      </c>
      <c r="P3" s="3">
        <f t="shared" si="0"/>
        <v>24</v>
      </c>
      <c r="Q3" s="3">
        <f t="shared" si="0"/>
        <v>20</v>
      </c>
      <c r="R3" s="3">
        <f t="shared" si="0"/>
        <v>22</v>
      </c>
      <c r="S3" s="3">
        <f t="shared" si="0"/>
        <v>22</v>
      </c>
      <c r="T3" s="3">
        <f t="shared" si="0"/>
        <v>22</v>
      </c>
      <c r="U3" s="3">
        <f t="shared" si="0"/>
        <v>20</v>
      </c>
      <c r="V3" s="3">
        <f t="shared" si="0"/>
        <v>12</v>
      </c>
      <c r="W3" s="3">
        <f t="shared" si="0"/>
        <v>10</v>
      </c>
      <c r="X3" s="3">
        <f t="shared" si="0"/>
        <v>18</v>
      </c>
      <c r="Y3" s="3">
        <f t="shared" si="0"/>
        <v>24</v>
      </c>
      <c r="Z3" s="3">
        <f t="shared" si="0"/>
        <v>24</v>
      </c>
      <c r="AA3" s="3">
        <f t="shared" si="0"/>
        <v>20</v>
      </c>
      <c r="AB3" s="3">
        <f t="shared" si="0"/>
        <v>20</v>
      </c>
      <c r="AC3" s="3">
        <f t="shared" si="0"/>
        <v>24</v>
      </c>
      <c r="AD3" s="3">
        <f t="shared" si="0"/>
        <v>20</v>
      </c>
      <c r="AE3" s="3">
        <f t="shared" si="0"/>
        <v>18</v>
      </c>
      <c r="AF3" s="3">
        <f t="shared" si="0"/>
        <v>18</v>
      </c>
      <c r="AG3" s="3">
        <f t="shared" si="0"/>
        <v>20</v>
      </c>
      <c r="AH3" s="3">
        <f t="shared" si="0"/>
        <v>24</v>
      </c>
      <c r="AI3" s="3">
        <f t="shared" si="0"/>
        <v>18</v>
      </c>
      <c r="AJ3" s="3">
        <f t="shared" si="0"/>
        <v>18</v>
      </c>
      <c r="AK3" s="3">
        <f t="shared" si="0"/>
        <v>18</v>
      </c>
      <c r="AL3" s="3">
        <f t="shared" si="0"/>
        <v>22</v>
      </c>
      <c r="AM3" s="3">
        <f t="shared" si="0"/>
        <v>24</v>
      </c>
      <c r="AN3" s="3">
        <f t="shared" si="0"/>
        <v>18</v>
      </c>
      <c r="AO3" s="3">
        <f t="shared" si="0"/>
        <v>18</v>
      </c>
      <c r="AP3" s="3">
        <f t="shared" si="0"/>
        <v>20</v>
      </c>
      <c r="AQ3" s="3">
        <f t="shared" si="0"/>
        <v>24</v>
      </c>
    </row>
    <row r="4" spans="1:61" x14ac:dyDescent="0.25">
      <c r="A4" s="1" t="s">
        <v>51</v>
      </c>
      <c r="B4" s="3">
        <v>71.599999999999994</v>
      </c>
      <c r="C4" s="3">
        <v>58.1</v>
      </c>
      <c r="D4" s="3">
        <v>46.1</v>
      </c>
      <c r="E4" s="3">
        <v>33.299999999999997</v>
      </c>
      <c r="F4" s="3">
        <v>79.7</v>
      </c>
      <c r="G4" s="3">
        <v>67.2</v>
      </c>
      <c r="H4" s="3">
        <v>56.2</v>
      </c>
      <c r="I4" s="3">
        <v>46.3</v>
      </c>
      <c r="J4" s="3">
        <v>33.9</v>
      </c>
      <c r="K4" s="3">
        <v>77.900000000000006</v>
      </c>
      <c r="L4" s="3">
        <v>66</v>
      </c>
      <c r="M4" s="3">
        <v>54.5</v>
      </c>
      <c r="N4" s="3">
        <v>44.3</v>
      </c>
      <c r="O4" s="3">
        <v>34.200000000000003</v>
      </c>
      <c r="P4" s="3">
        <v>27.6</v>
      </c>
      <c r="Q4" s="3">
        <v>77.8</v>
      </c>
      <c r="R4" s="3">
        <v>67.5</v>
      </c>
      <c r="S4" s="3">
        <v>55.4</v>
      </c>
      <c r="T4" s="3">
        <v>43.3</v>
      </c>
      <c r="U4" s="3">
        <v>32.9</v>
      </c>
      <c r="V4" s="3">
        <v>71</v>
      </c>
      <c r="W4" s="3">
        <v>53.6</v>
      </c>
      <c r="X4" s="3">
        <v>38</v>
      </c>
      <c r="Y4" s="3">
        <v>26.7</v>
      </c>
      <c r="Z4" s="3">
        <v>20.7</v>
      </c>
      <c r="AA4" s="3">
        <v>77.5</v>
      </c>
      <c r="AB4" s="3">
        <v>67.099999999999994</v>
      </c>
      <c r="AC4" s="3">
        <v>55.7</v>
      </c>
      <c r="AD4" s="3">
        <v>42.2</v>
      </c>
      <c r="AE4" s="3">
        <v>71.599999999999994</v>
      </c>
      <c r="AF4" s="3">
        <v>56.6</v>
      </c>
      <c r="AG4" s="3">
        <v>42.6</v>
      </c>
      <c r="AH4" s="3">
        <v>28</v>
      </c>
      <c r="AI4" s="3">
        <v>76.400000000000006</v>
      </c>
      <c r="AJ4" s="3">
        <v>66.7</v>
      </c>
      <c r="AK4" s="3">
        <v>54.8</v>
      </c>
      <c r="AL4" s="3">
        <v>42.9</v>
      </c>
      <c r="AM4" s="3">
        <v>31.9</v>
      </c>
      <c r="AN4" s="3">
        <v>71.8</v>
      </c>
      <c r="AO4" s="3">
        <v>55.7</v>
      </c>
      <c r="AP4" s="3">
        <v>42.5</v>
      </c>
      <c r="AQ4" s="3">
        <v>29.6</v>
      </c>
    </row>
    <row r="5" spans="1:61" x14ac:dyDescent="0.25">
      <c r="A5" s="1" t="s">
        <v>52</v>
      </c>
      <c r="B5" s="3">
        <v>82</v>
      </c>
      <c r="C5" s="3">
        <v>66</v>
      </c>
      <c r="D5" s="3">
        <v>55</v>
      </c>
      <c r="E5" s="3">
        <v>41</v>
      </c>
      <c r="F5" s="3">
        <v>90</v>
      </c>
      <c r="G5" s="3">
        <v>75</v>
      </c>
      <c r="H5" s="3">
        <v>63</v>
      </c>
      <c r="I5" s="3">
        <v>52</v>
      </c>
      <c r="J5" s="3">
        <v>41</v>
      </c>
      <c r="K5" s="3">
        <v>90</v>
      </c>
      <c r="L5" s="3">
        <v>78</v>
      </c>
      <c r="M5" s="3">
        <v>64</v>
      </c>
      <c r="N5" s="3">
        <v>50</v>
      </c>
      <c r="O5" s="3">
        <v>39</v>
      </c>
      <c r="P5" s="3">
        <v>29</v>
      </c>
      <c r="Q5" s="3">
        <v>90</v>
      </c>
      <c r="R5" s="3">
        <v>74</v>
      </c>
      <c r="S5" s="3">
        <v>61</v>
      </c>
      <c r="T5" s="3">
        <v>49</v>
      </c>
      <c r="U5" s="3">
        <v>38</v>
      </c>
      <c r="V5" s="3">
        <v>80</v>
      </c>
      <c r="W5" s="3">
        <v>63</v>
      </c>
      <c r="X5" s="3">
        <v>47</v>
      </c>
      <c r="Y5" s="3">
        <v>33</v>
      </c>
      <c r="Z5" s="3">
        <v>23</v>
      </c>
      <c r="AA5" s="3">
        <v>88</v>
      </c>
      <c r="AB5" s="3">
        <v>73</v>
      </c>
      <c r="AC5" s="3">
        <v>61</v>
      </c>
      <c r="AD5" s="3">
        <v>48</v>
      </c>
      <c r="AE5" s="3">
        <v>82</v>
      </c>
      <c r="AF5" s="3">
        <v>63</v>
      </c>
      <c r="AG5" s="3">
        <v>50</v>
      </c>
      <c r="AH5" s="3">
        <v>36</v>
      </c>
      <c r="AI5" s="3">
        <v>90</v>
      </c>
      <c r="AJ5" s="3">
        <v>72</v>
      </c>
      <c r="AK5" s="3">
        <v>61</v>
      </c>
      <c r="AL5" s="3">
        <v>49</v>
      </c>
      <c r="AM5" s="3">
        <v>38</v>
      </c>
      <c r="AN5" s="3">
        <v>81</v>
      </c>
      <c r="AO5" s="3">
        <v>63</v>
      </c>
      <c r="AP5" s="3">
        <v>50</v>
      </c>
      <c r="AQ5" s="3">
        <v>37</v>
      </c>
    </row>
    <row r="6" spans="1:61" x14ac:dyDescent="0.25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1:61" s="30" customFormat="1" x14ac:dyDescent="0.25">
      <c r="B7" s="30">
        <f>(B4-71)/(79.7-71)</f>
        <v>6.8965517241378629E-2</v>
      </c>
      <c r="C7" s="30">
        <f>(C4-53.6)/(67.5-53.6)</f>
        <v>0.32374100719424465</v>
      </c>
      <c r="D7" s="30">
        <f>(D4-38)/(56.2-38)</f>
        <v>0.44505494505494508</v>
      </c>
      <c r="E7" s="30">
        <f>(E4-26.7)/(46.3-26.7)</f>
        <v>0.33673469387755095</v>
      </c>
      <c r="F7" s="30">
        <f>(F4-71)/(79.7-71)</f>
        <v>1</v>
      </c>
      <c r="G7" s="30">
        <f>(G4-53.6)/(67.5-53.6)</f>
        <v>0.9784172661870506</v>
      </c>
      <c r="H7" s="30">
        <f>(H4-38)/(56.2-38)</f>
        <v>1</v>
      </c>
      <c r="I7" s="30">
        <f>(I4-26.7)/(46.3-26.7)</f>
        <v>1</v>
      </c>
      <c r="J7" s="30">
        <f>(J4-20.7)/(34.2-20.7)</f>
        <v>0.97777777777777741</v>
      </c>
      <c r="K7" s="30">
        <f>(K4-71)/(79.7-71)</f>
        <v>0.79310344827586243</v>
      </c>
      <c r="L7" s="30">
        <f>(L4-53.6)/(67.5-53.6)</f>
        <v>0.8920863309352518</v>
      </c>
      <c r="M7" s="30">
        <f>(M4-38)/(56.2-38)</f>
        <v>0.90659340659340648</v>
      </c>
      <c r="N7" s="30">
        <f>(N4-26.7)/(46.3-26.7)</f>
        <v>0.89795918367346939</v>
      </c>
      <c r="O7" s="30">
        <f>(O4-20.7)/(34.2-20.7)</f>
        <v>1</v>
      </c>
      <c r="P7" s="30">
        <f>(P4-20.7)/(34.2-20.7)</f>
        <v>0.51111111111111118</v>
      </c>
      <c r="Q7" s="30">
        <f>(Q4-71)/(79.7-71)</f>
        <v>0.78160919540229823</v>
      </c>
      <c r="R7" s="30">
        <f>(R4-53.6)/(67.5-53.6)</f>
        <v>1</v>
      </c>
      <c r="S7" s="30">
        <f>(S4-38)/(56.2-38)</f>
        <v>0.95604395604395587</v>
      </c>
      <c r="T7" s="30">
        <f>(T4-26.7)/(46.3-26.7)</f>
        <v>0.84693877551020402</v>
      </c>
      <c r="U7" s="30">
        <f>(U4-20.7)/(34.2-20.7)</f>
        <v>0.90370370370370345</v>
      </c>
      <c r="V7" s="30">
        <f>(V4-71)/(79.7-71)</f>
        <v>0</v>
      </c>
      <c r="W7" s="30">
        <f>(W4-53.6)/(67.5-53.6)</f>
        <v>0</v>
      </c>
      <c r="X7" s="30">
        <f>(X4-38)/(56.2-38)</f>
        <v>0</v>
      </c>
      <c r="Y7" s="30">
        <f>(Y4-26.7)/(46.3-26.7)</f>
        <v>0</v>
      </c>
      <c r="Z7" s="30">
        <f>(Z4-20.7)/(34.2-20.7)</f>
        <v>0</v>
      </c>
      <c r="AA7" s="30">
        <f>(AA4-71)/(79.7-71)</f>
        <v>0.74712643678160895</v>
      </c>
      <c r="AB7" s="30">
        <f>(AB4-53.6)/(67.5-53.6)</f>
        <v>0.97122302158273344</v>
      </c>
      <c r="AC7" s="30">
        <f>(AC4-38)/(56.2-38)</f>
        <v>0.97252747252747251</v>
      </c>
      <c r="AD7" s="30">
        <f>(AD4-26.7)/(46.3-26.7)</f>
        <v>0.79081632653061251</v>
      </c>
      <c r="AE7" s="30">
        <f>(AE4-71)/(79.7-71)</f>
        <v>6.8965517241378629E-2</v>
      </c>
      <c r="AF7" s="30">
        <f>(AF4-53.6)/(67.5-53.6)</f>
        <v>0.21582733812949642</v>
      </c>
      <c r="AG7" s="30">
        <f>(AG4-38)/(56.2-38)</f>
        <v>0.25274725274725279</v>
      </c>
      <c r="AH7" s="30">
        <f>(AH4-26.7)/(46.3-26.7)</f>
        <v>6.6326530612244944E-2</v>
      </c>
      <c r="AI7" s="30">
        <f>(AI4-71)/(79.7-71)</f>
        <v>0.62068965517241426</v>
      </c>
      <c r="AJ7" s="30">
        <f>(AJ4-53.6)/(67.5-53.6)</f>
        <v>0.94244604316546787</v>
      </c>
      <c r="AK7" s="30">
        <f>(AK4-38)/(56.2-38)</f>
        <v>0.9230769230769228</v>
      </c>
      <c r="AL7" s="30">
        <f>(AL4-26.7)/(46.3-26.7)</f>
        <v>0.82653061224489799</v>
      </c>
      <c r="AM7" s="30">
        <f>(AM4-20.7)/(34.2-20.7)</f>
        <v>0.82962962962962938</v>
      </c>
      <c r="AN7" s="30">
        <f>(AN4-71)/(79.7-71)</f>
        <v>9.1954022988505385E-2</v>
      </c>
      <c r="AO7" s="30">
        <f>(AO4-53.6)/(67.5-53.6)</f>
        <v>0.1510791366906476</v>
      </c>
      <c r="AP7" s="30">
        <f>(AP4-38)/(56.2-38)</f>
        <v>0.24725274725274721</v>
      </c>
      <c r="AQ7" s="30">
        <f>(AQ4-26.7)/(46.3-26.7)</f>
        <v>0.14795918367346952</v>
      </c>
      <c r="BD7" s="31"/>
      <c r="BE7" s="31"/>
      <c r="BF7" s="31"/>
      <c r="BG7" s="31"/>
      <c r="BH7" s="31"/>
      <c r="BI7" s="31"/>
    </row>
    <row r="8" spans="1:61" x14ac:dyDescent="0.25">
      <c r="B8" s="10">
        <f>B7*14000 + 6000</f>
        <v>6965.5172413793007</v>
      </c>
      <c r="C8" s="10">
        <f>C7*7000 + 3000</f>
        <v>5266.1870503597129</v>
      </c>
      <c r="D8" s="10">
        <f>D7*3500 + 1500</f>
        <v>3057.6923076923076</v>
      </c>
      <c r="E8" s="10">
        <f>E7*1500 + 750</f>
        <v>1255.1020408163265</v>
      </c>
      <c r="F8" s="10">
        <f>F7*14000 + 6000</f>
        <v>20000</v>
      </c>
      <c r="G8" s="10">
        <f>G7*7000 + 3000</f>
        <v>9848.9208633093549</v>
      </c>
      <c r="H8" s="10">
        <f>H7*3500 + 1500</f>
        <v>5000</v>
      </c>
      <c r="I8" s="10">
        <f>I7*1500 + 750</f>
        <v>2250</v>
      </c>
      <c r="J8" s="10">
        <f>J7*1000 + 450</f>
        <v>1427.7777777777774</v>
      </c>
      <c r="K8" s="10">
        <f>K7*14000 + 6000</f>
        <v>17103.448275862072</v>
      </c>
      <c r="L8" s="10">
        <f>L7*7000 + 3000</f>
        <v>9244.6043165467636</v>
      </c>
      <c r="M8" s="10">
        <f>M7*3500 + 1500</f>
        <v>4673.0769230769229</v>
      </c>
      <c r="N8" s="10">
        <f>N7*1500 + 750</f>
        <v>2096.9387755102043</v>
      </c>
      <c r="O8" s="10">
        <f>O7*1000 + 450</f>
        <v>1450</v>
      </c>
      <c r="P8" s="10">
        <f>P7*1000 + 450</f>
        <v>961.1111111111112</v>
      </c>
      <c r="Q8" s="10">
        <f>Q7*14000 + 6000</f>
        <v>16942.528735632175</v>
      </c>
      <c r="R8" s="10">
        <f>R7*7000 + 3000</f>
        <v>10000</v>
      </c>
      <c r="S8" s="10">
        <f>S7*3500 + 1500</f>
        <v>4846.1538461538457</v>
      </c>
      <c r="T8" s="10">
        <f>T7*1500 + 750</f>
        <v>2020.408163265306</v>
      </c>
      <c r="U8" s="10">
        <f>U7*1000 + 450</f>
        <v>1353.7037037037035</v>
      </c>
      <c r="V8" s="10">
        <f>V7*14000 + 6000</f>
        <v>6000</v>
      </c>
      <c r="W8" s="10">
        <f>W7*7000 + 3000</f>
        <v>3000</v>
      </c>
      <c r="X8" s="10">
        <f>X7*3500 + 1500</f>
        <v>1500</v>
      </c>
      <c r="Y8" s="10">
        <f>Y7*1500 + 750</f>
        <v>750</v>
      </c>
      <c r="Z8" s="10">
        <f>Z7*1000 + 450</f>
        <v>450</v>
      </c>
      <c r="AA8" s="10">
        <f>AA7*14000 + 6000</f>
        <v>16459.770114942527</v>
      </c>
      <c r="AB8" s="10">
        <f>AB7*7000 + 3000</f>
        <v>9798.561151079135</v>
      </c>
      <c r="AC8" s="10">
        <f>AC7*3500 + 1500</f>
        <v>4903.8461538461543</v>
      </c>
      <c r="AD8" s="10">
        <f>AD7*1500 + 750</f>
        <v>1936.2244897959188</v>
      </c>
      <c r="AE8" s="10">
        <f>AE7*14000 + 6000</f>
        <v>6965.5172413793007</v>
      </c>
      <c r="AF8" s="10">
        <f>AF7*7000 + 3000</f>
        <v>4510.7913669064747</v>
      </c>
      <c r="AG8" s="10">
        <f>AG7*3500 + 1500</f>
        <v>2384.6153846153848</v>
      </c>
      <c r="AH8" s="10">
        <f>AH7*1500 + 750</f>
        <v>849.48979591836746</v>
      </c>
      <c r="AI8" s="10">
        <f>AI7*14000 + 6000</f>
        <v>14689.655172413799</v>
      </c>
      <c r="AJ8" s="10">
        <f>AJ7*7000 + 3000</f>
        <v>9597.1223021582755</v>
      </c>
      <c r="AK8" s="10">
        <f>AK7*3500 + 1500</f>
        <v>4730.7692307692296</v>
      </c>
      <c r="AL8" s="10">
        <f>AL7*1500 + 750</f>
        <v>1989.795918367347</v>
      </c>
      <c r="AM8" s="10">
        <f>AM7*1000 + 450</f>
        <v>1279.6296296296293</v>
      </c>
      <c r="AN8" s="10">
        <f>AN7*14000 + 6000</f>
        <v>7287.3563218390755</v>
      </c>
      <c r="AO8" s="10">
        <f>AO7*7000 + 3000</f>
        <v>4057.553956834533</v>
      </c>
      <c r="AP8" s="10">
        <f>AP7*3500 + 1500</f>
        <v>2365.3846153846152</v>
      </c>
      <c r="AQ8" s="10">
        <f>AQ7*1500 + 750</f>
        <v>971.93877551020432</v>
      </c>
      <c r="BD8" s="24"/>
      <c r="BE8" s="24"/>
      <c r="BF8" s="24"/>
      <c r="BG8" s="24"/>
      <c r="BH8" s="24"/>
      <c r="BI8" s="24"/>
    </row>
    <row r="9" spans="1:61" s="30" customFormat="1" x14ac:dyDescent="0.25">
      <c r="A9" s="32"/>
      <c r="B9" s="30">
        <f>(B5-80)/(90-80)</f>
        <v>0.2</v>
      </c>
      <c r="C9" s="30">
        <f>(C5-63)/(78-63)</f>
        <v>0.2</v>
      </c>
      <c r="D9" s="30">
        <f>(D5-47)/(64-47)</f>
        <v>0.47058823529411764</v>
      </c>
      <c r="E9" s="30">
        <f>(E5-33)/(52-33)</f>
        <v>0.42105263157894735</v>
      </c>
      <c r="F9" s="30">
        <f>(F5-80)/(90-80)</f>
        <v>1</v>
      </c>
      <c r="G9" s="30">
        <f>(G5-63)/(78-63)</f>
        <v>0.8</v>
      </c>
      <c r="H9" s="30">
        <f>(H5-47)/(64-47)</f>
        <v>0.94117647058823528</v>
      </c>
      <c r="I9" s="30">
        <f>(I5-33)/(52-33)</f>
        <v>1</v>
      </c>
      <c r="J9" s="30">
        <f>(J5-23)/(41-23)</f>
        <v>1</v>
      </c>
      <c r="K9" s="30">
        <f>(K5-80)/(90-80)</f>
        <v>1</v>
      </c>
      <c r="L9" s="30">
        <f>(L5-63)/(78-63)</f>
        <v>1</v>
      </c>
      <c r="M9" s="30">
        <f>(M5-47)/(64-47)</f>
        <v>1</v>
      </c>
      <c r="N9" s="30">
        <f>(N5-33)/(52-33)</f>
        <v>0.89473684210526316</v>
      </c>
      <c r="O9" s="30">
        <f>(O5-23)/(41-23)</f>
        <v>0.88888888888888884</v>
      </c>
      <c r="P9" s="30">
        <f>(P5-23)/(41-23)</f>
        <v>0.33333333333333331</v>
      </c>
      <c r="Q9" s="30">
        <f>(Q5-80)/(90-80)</f>
        <v>1</v>
      </c>
      <c r="R9" s="30">
        <f>(R5-63)/(78-63)</f>
        <v>0.73333333333333328</v>
      </c>
      <c r="S9" s="30">
        <f>(S5-47)/(64-47)</f>
        <v>0.82352941176470584</v>
      </c>
      <c r="T9" s="30">
        <f>(T5-33)/(52-33)</f>
        <v>0.84210526315789469</v>
      </c>
      <c r="U9" s="30">
        <f>(U5-23)/(41-23)</f>
        <v>0.83333333333333337</v>
      </c>
      <c r="V9" s="30">
        <f>(V5-80)/(90-80)</f>
        <v>0</v>
      </c>
      <c r="W9" s="30">
        <f>(W5-63)/(78-63)</f>
        <v>0</v>
      </c>
      <c r="X9" s="30">
        <f>(X5-47)/(64-47)</f>
        <v>0</v>
      </c>
      <c r="Y9" s="30">
        <f>(Y5-33)/(52-33)</f>
        <v>0</v>
      </c>
      <c r="Z9" s="30">
        <f>(Z5-23)/(41-23)</f>
        <v>0</v>
      </c>
      <c r="AA9" s="30">
        <f>(AA5-80)/(90-80)</f>
        <v>0.8</v>
      </c>
      <c r="AB9" s="30">
        <f>(AB5-63)/(78-63)</f>
        <v>0.66666666666666663</v>
      </c>
      <c r="AC9" s="30">
        <f>(AC5-47)/(64-47)</f>
        <v>0.82352941176470584</v>
      </c>
      <c r="AD9" s="30">
        <f>(AD5-33)/(52-33)</f>
        <v>0.78947368421052633</v>
      </c>
      <c r="AE9" s="30">
        <f>(AE5-80)/(90-80)</f>
        <v>0.2</v>
      </c>
      <c r="AF9" s="30">
        <f>(AF5-63)/(78-63)</f>
        <v>0</v>
      </c>
      <c r="AG9" s="30">
        <f>(AG5-47)/(64-47)</f>
        <v>0.17647058823529413</v>
      </c>
      <c r="AH9" s="30">
        <f>(AH5-33)/(52-33)</f>
        <v>0.15789473684210525</v>
      </c>
      <c r="AI9" s="30">
        <f>(AI5-80)/(90-80)</f>
        <v>1</v>
      </c>
      <c r="AJ9" s="30">
        <f>(AJ5-63)/(78-63)</f>
        <v>0.6</v>
      </c>
      <c r="AK9" s="30">
        <f>(AK5-47)/(64-47)</f>
        <v>0.82352941176470584</v>
      </c>
      <c r="AL9" s="30">
        <f>(AL5-33)/(52-33)</f>
        <v>0.84210526315789469</v>
      </c>
      <c r="AM9" s="30">
        <f>(AM5-23)/(41-23)</f>
        <v>0.83333333333333337</v>
      </c>
      <c r="AN9" s="30">
        <f>(AN5-80)/(90-80)</f>
        <v>0.1</v>
      </c>
      <c r="AO9" s="30">
        <f>(AO5-63)/(78-63)</f>
        <v>0</v>
      </c>
      <c r="AP9" s="30">
        <f>(AP5-47)/(64-47)</f>
        <v>0.17647058823529413</v>
      </c>
      <c r="AQ9" s="30">
        <f>(AQ5-33)/(52-33)</f>
        <v>0.21052631578947367</v>
      </c>
      <c r="BD9" s="31"/>
      <c r="BE9" s="31"/>
      <c r="BF9" s="31"/>
      <c r="BG9" s="31"/>
      <c r="BH9" s="31"/>
      <c r="BI9" s="31"/>
    </row>
    <row r="10" spans="1:61" x14ac:dyDescent="0.25">
      <c r="A10" s="4"/>
      <c r="B10" s="10">
        <f>B9*14000 + 6000</f>
        <v>8800</v>
      </c>
      <c r="C10" s="10">
        <f>C9*7000 + 3000</f>
        <v>4400</v>
      </c>
      <c r="D10" s="10">
        <f>D9*3500 + 1500</f>
        <v>3147.0588235294117</v>
      </c>
      <c r="E10" s="10">
        <f>E9*1500 + 750</f>
        <v>1381.578947368421</v>
      </c>
      <c r="F10" s="10">
        <f>F9*14000 + 6000</f>
        <v>20000</v>
      </c>
      <c r="G10" s="10">
        <f>G9*7000 + 3000</f>
        <v>8600</v>
      </c>
      <c r="H10" s="10">
        <f>H9*3500 + 1500</f>
        <v>4794.1176470588234</v>
      </c>
      <c r="I10" s="10">
        <f>I9*1500 + 750</f>
        <v>2250</v>
      </c>
      <c r="J10" s="10">
        <f>J9*1500 + 750</f>
        <v>2250</v>
      </c>
      <c r="K10" s="10">
        <f>K9*14000 + 6000</f>
        <v>20000</v>
      </c>
      <c r="L10" s="10">
        <f>L9*7000 + 3000</f>
        <v>10000</v>
      </c>
      <c r="M10" s="10">
        <f>M9*3500 + 1500</f>
        <v>5000</v>
      </c>
      <c r="N10" s="10">
        <f>N9*1500 + 750</f>
        <v>2092.105263157895</v>
      </c>
      <c r="O10" s="10">
        <f>O9*1500 + 750</f>
        <v>2083.333333333333</v>
      </c>
      <c r="P10" s="10">
        <f>P9*1500 + 750</f>
        <v>1250</v>
      </c>
      <c r="Q10" s="10">
        <f>Q9*14000 + 6000</f>
        <v>20000</v>
      </c>
      <c r="R10" s="10">
        <f>R9*7000 + 3000</f>
        <v>8133.333333333333</v>
      </c>
      <c r="S10" s="10">
        <f>S9*3500 + 1500</f>
        <v>4382.3529411764703</v>
      </c>
      <c r="T10" s="10">
        <f>T9*1500 + 750</f>
        <v>2013.1578947368421</v>
      </c>
      <c r="U10" s="10">
        <f>U9*1500 + 750</f>
        <v>2000</v>
      </c>
      <c r="V10" s="10">
        <f>V9*14000 + 6000</f>
        <v>6000</v>
      </c>
      <c r="W10" s="10">
        <f>W9*7000 + 3000</f>
        <v>3000</v>
      </c>
      <c r="X10" s="10">
        <f>X9*3500 + 1500</f>
        <v>1500</v>
      </c>
      <c r="Y10" s="10">
        <f>Y9*1500 + 750</f>
        <v>750</v>
      </c>
      <c r="Z10" s="10">
        <f>Z9*1500 + 750</f>
        <v>750</v>
      </c>
      <c r="AA10" s="10">
        <f>AA9*14000 + 6000</f>
        <v>17200</v>
      </c>
      <c r="AB10" s="10">
        <f>AB9*7000 + 3000</f>
        <v>7666.6666666666661</v>
      </c>
      <c r="AC10" s="10">
        <f>AC9*3500 + 1500</f>
        <v>4382.3529411764703</v>
      </c>
      <c r="AD10" s="10">
        <f>AD9*1500 + 750</f>
        <v>1934.2105263157896</v>
      </c>
      <c r="AE10" s="10">
        <f>AE9*14000 + 6000</f>
        <v>8800</v>
      </c>
      <c r="AF10" s="10">
        <f>AF9*7000 + 3000</f>
        <v>3000</v>
      </c>
      <c r="AG10" s="10">
        <f>AG9*3500 + 1500</f>
        <v>2117.6470588235297</v>
      </c>
      <c r="AH10" s="10">
        <f>AH9*1500 + 750</f>
        <v>986.84210526315792</v>
      </c>
      <c r="AI10" s="10">
        <f>AI9*14000 + 6000</f>
        <v>20000</v>
      </c>
      <c r="AJ10" s="10">
        <f>AJ9*7000 + 3000</f>
        <v>7200</v>
      </c>
      <c r="AK10" s="10">
        <f>AK9*3500 + 1500</f>
        <v>4382.3529411764703</v>
      </c>
      <c r="AL10" s="10">
        <f>AL9*1500 + 750</f>
        <v>2013.1578947368421</v>
      </c>
      <c r="AM10" s="10">
        <f>AM9*1500 + 750</f>
        <v>2000</v>
      </c>
      <c r="AN10" s="10">
        <f>AN9*14000 + 6000</f>
        <v>7400</v>
      </c>
      <c r="AO10" s="10">
        <f>AO9*7000 + 3000</f>
        <v>3000</v>
      </c>
      <c r="AP10" s="10">
        <f>AP9*3500 + 1500</f>
        <v>2117.6470588235297</v>
      </c>
      <c r="AQ10" s="10">
        <f>AQ9*1500 + 750</f>
        <v>1065.7894736842104</v>
      </c>
      <c r="BD10" s="24"/>
      <c r="BE10" s="24"/>
      <c r="BF10" s="24"/>
      <c r="BG10" s="24"/>
      <c r="BH10" s="24"/>
      <c r="BI10" s="24"/>
    </row>
    <row r="11" spans="1:61" x14ac:dyDescent="0.25">
      <c r="A11" s="4"/>
      <c r="B11" s="25">
        <f t="shared" ref="B11:C11" si="1">(B8+B10)/2</f>
        <v>7882.7586206896503</v>
      </c>
      <c r="C11" s="25">
        <f t="shared" si="1"/>
        <v>4833.0935251798564</v>
      </c>
      <c r="D11" s="25">
        <f t="shared" ref="D11:E11" si="2">(D8+D10)/2</f>
        <v>3102.3755656108597</v>
      </c>
      <c r="E11" s="25">
        <f t="shared" si="2"/>
        <v>1318.3404940923738</v>
      </c>
      <c r="F11" s="25">
        <f t="shared" ref="F11:I11" si="3">(F8+F10)/2</f>
        <v>20000</v>
      </c>
      <c r="G11" s="25">
        <f t="shared" si="3"/>
        <v>9224.4604316546774</v>
      </c>
      <c r="H11" s="25">
        <f t="shared" si="3"/>
        <v>4897.0588235294117</v>
      </c>
      <c r="I11" s="25">
        <f t="shared" si="3"/>
        <v>2250</v>
      </c>
      <c r="J11" s="25">
        <f t="shared" ref="J11" si="4">(J8+J10)/2</f>
        <v>1838.8888888888887</v>
      </c>
      <c r="K11" s="25">
        <f t="shared" ref="K11:P11" si="5">(K8+K10)/2</f>
        <v>18551.724137931036</v>
      </c>
      <c r="L11" s="25">
        <f t="shared" si="5"/>
        <v>9622.3021582733818</v>
      </c>
      <c r="M11" s="25">
        <f t="shared" si="5"/>
        <v>4836.538461538461</v>
      </c>
      <c r="N11" s="25">
        <f t="shared" si="5"/>
        <v>2094.5220193340497</v>
      </c>
      <c r="O11" s="25">
        <f t="shared" si="5"/>
        <v>1766.6666666666665</v>
      </c>
      <c r="P11" s="25">
        <f t="shared" si="5"/>
        <v>1105.5555555555557</v>
      </c>
      <c r="Q11" s="25">
        <f t="shared" ref="Q11:U11" si="6">(Q8+Q10)/2</f>
        <v>18471.264367816089</v>
      </c>
      <c r="R11" s="25">
        <f t="shared" si="6"/>
        <v>9066.6666666666661</v>
      </c>
      <c r="S11" s="25">
        <f t="shared" si="6"/>
        <v>4614.253393665158</v>
      </c>
      <c r="T11" s="25">
        <f t="shared" si="6"/>
        <v>2016.7830290010741</v>
      </c>
      <c r="U11" s="25">
        <f t="shared" si="6"/>
        <v>1676.8518518518517</v>
      </c>
      <c r="V11" s="25">
        <f t="shared" ref="V11:Z11" si="7">(V8+V10)/2</f>
        <v>6000</v>
      </c>
      <c r="W11" s="25">
        <f t="shared" si="7"/>
        <v>3000</v>
      </c>
      <c r="X11" s="25">
        <f t="shared" si="7"/>
        <v>1500</v>
      </c>
      <c r="Y11" s="25">
        <f t="shared" si="7"/>
        <v>750</v>
      </c>
      <c r="Z11" s="25">
        <f t="shared" si="7"/>
        <v>600</v>
      </c>
      <c r="AA11" s="25">
        <f t="shared" ref="AA11:AD11" si="8">(AA8+AA10)/2</f>
        <v>16829.885057471263</v>
      </c>
      <c r="AB11" s="25">
        <f t="shared" si="8"/>
        <v>8732.6139088728996</v>
      </c>
      <c r="AC11" s="25">
        <f t="shared" si="8"/>
        <v>4643.0995475113123</v>
      </c>
      <c r="AD11" s="25">
        <f t="shared" si="8"/>
        <v>1935.2175080558541</v>
      </c>
      <c r="AE11" s="25">
        <f t="shared" ref="AE11:AH11" si="9">(AE8+AE10)/2</f>
        <v>7882.7586206896503</v>
      </c>
      <c r="AF11" s="25">
        <f t="shared" si="9"/>
        <v>3755.3956834532373</v>
      </c>
      <c r="AG11" s="25">
        <f t="shared" si="9"/>
        <v>2251.1312217194572</v>
      </c>
      <c r="AH11" s="25">
        <f t="shared" si="9"/>
        <v>918.16595059076269</v>
      </c>
      <c r="AI11" s="25">
        <f t="shared" ref="AI11:AM11" si="10">(AI8+AI10)/2</f>
        <v>17344.827586206899</v>
      </c>
      <c r="AJ11" s="25">
        <f t="shared" si="10"/>
        <v>8398.5611510791387</v>
      </c>
      <c r="AK11" s="25">
        <f t="shared" si="10"/>
        <v>4556.5610859728495</v>
      </c>
      <c r="AL11" s="25">
        <f t="shared" si="10"/>
        <v>2001.4769065520945</v>
      </c>
      <c r="AM11" s="25">
        <f t="shared" si="10"/>
        <v>1639.8148148148148</v>
      </c>
      <c r="AN11" s="25">
        <f t="shared" ref="AN11:AQ11" si="11">(AN8+AN10)/2</f>
        <v>7343.6781609195377</v>
      </c>
      <c r="AO11" s="25">
        <f t="shared" si="11"/>
        <v>3528.7769784172665</v>
      </c>
      <c r="AP11" s="25">
        <f t="shared" si="11"/>
        <v>2241.5158371040725</v>
      </c>
      <c r="AQ11" s="25">
        <f t="shared" si="11"/>
        <v>1018.8641245972074</v>
      </c>
      <c r="BD11" s="25"/>
      <c r="BE11" s="25"/>
      <c r="BF11" s="25"/>
      <c r="BG11" s="25"/>
      <c r="BH11" s="25"/>
      <c r="BI11" s="25"/>
    </row>
    <row r="12" spans="1:61" x14ac:dyDescent="0.25">
      <c r="B12" s="25">
        <f t="shared" ref="B12:C12" si="12">IF(B11&gt;599, B11, 500)</f>
        <v>7882.7586206896503</v>
      </c>
      <c r="C12" s="25">
        <f t="shared" si="12"/>
        <v>4833.0935251798564</v>
      </c>
      <c r="D12" s="25">
        <f t="shared" ref="D12:E12" si="13">IF(D11&gt;599, D11, 500)</f>
        <v>3102.3755656108597</v>
      </c>
      <c r="E12" s="25">
        <f t="shared" si="13"/>
        <v>1318.3404940923738</v>
      </c>
      <c r="F12" s="25">
        <f t="shared" ref="F12:I12" si="14">IF(F11&gt;599, F11, 500)</f>
        <v>20000</v>
      </c>
      <c r="G12" s="25">
        <f t="shared" si="14"/>
        <v>9224.4604316546774</v>
      </c>
      <c r="H12" s="25">
        <f t="shared" si="14"/>
        <v>4897.0588235294117</v>
      </c>
      <c r="I12" s="25">
        <f t="shared" si="14"/>
        <v>2250</v>
      </c>
      <c r="J12" s="25">
        <f t="shared" ref="J12" si="15">IF(J11&gt;599, J11, 500)</f>
        <v>1838.8888888888887</v>
      </c>
      <c r="K12" s="25">
        <f t="shared" ref="K12:P12" si="16">IF(K11&gt;599, K11, 500)</f>
        <v>18551.724137931036</v>
      </c>
      <c r="L12" s="25">
        <f t="shared" si="16"/>
        <v>9622.3021582733818</v>
      </c>
      <c r="M12" s="25">
        <f t="shared" si="16"/>
        <v>4836.538461538461</v>
      </c>
      <c r="N12" s="25">
        <f t="shared" si="16"/>
        <v>2094.5220193340497</v>
      </c>
      <c r="O12" s="25">
        <f t="shared" si="16"/>
        <v>1766.6666666666665</v>
      </c>
      <c r="P12" s="25">
        <f t="shared" si="16"/>
        <v>1105.5555555555557</v>
      </c>
      <c r="Q12" s="25">
        <f t="shared" ref="Q12:U12" si="17">IF(Q11&gt;599, Q11, 500)</f>
        <v>18471.264367816089</v>
      </c>
      <c r="R12" s="25">
        <f t="shared" si="17"/>
        <v>9066.6666666666661</v>
      </c>
      <c r="S12" s="25">
        <f t="shared" si="17"/>
        <v>4614.253393665158</v>
      </c>
      <c r="T12" s="25">
        <f t="shared" si="17"/>
        <v>2016.7830290010741</v>
      </c>
      <c r="U12" s="25">
        <f t="shared" si="17"/>
        <v>1676.8518518518517</v>
      </c>
      <c r="V12" s="25">
        <f t="shared" ref="V12:Z12" si="18">IF(V11&gt;599, V11, 500)</f>
        <v>6000</v>
      </c>
      <c r="W12" s="25">
        <f t="shared" si="18"/>
        <v>3000</v>
      </c>
      <c r="X12" s="25">
        <f t="shared" si="18"/>
        <v>1500</v>
      </c>
      <c r="Y12" s="25">
        <f t="shared" si="18"/>
        <v>750</v>
      </c>
      <c r="Z12" s="25">
        <f t="shared" si="18"/>
        <v>600</v>
      </c>
      <c r="AA12" s="25">
        <f t="shared" ref="AA12:AD12" si="19">IF(AA11&gt;599, AA11, 500)</f>
        <v>16829.885057471263</v>
      </c>
      <c r="AB12" s="25">
        <f t="shared" si="19"/>
        <v>8732.6139088728996</v>
      </c>
      <c r="AC12" s="25">
        <f t="shared" si="19"/>
        <v>4643.0995475113123</v>
      </c>
      <c r="AD12" s="25">
        <f t="shared" si="19"/>
        <v>1935.2175080558541</v>
      </c>
      <c r="AE12" s="25">
        <f t="shared" ref="AE12:AH12" si="20">IF(AE11&gt;599, AE11, 500)</f>
        <v>7882.7586206896503</v>
      </c>
      <c r="AF12" s="25">
        <f t="shared" si="20"/>
        <v>3755.3956834532373</v>
      </c>
      <c r="AG12" s="25">
        <f t="shared" si="20"/>
        <v>2251.1312217194572</v>
      </c>
      <c r="AH12" s="25">
        <f t="shared" si="20"/>
        <v>918.16595059076269</v>
      </c>
      <c r="AI12" s="25">
        <f t="shared" ref="AI12:AM12" si="21">IF(AI11&gt;599, AI11, 500)</f>
        <v>17344.827586206899</v>
      </c>
      <c r="AJ12" s="25">
        <f t="shared" si="21"/>
        <v>8398.5611510791387</v>
      </c>
      <c r="AK12" s="25">
        <f t="shared" si="21"/>
        <v>4556.5610859728495</v>
      </c>
      <c r="AL12" s="25">
        <f t="shared" si="21"/>
        <v>2001.4769065520945</v>
      </c>
      <c r="AM12" s="25">
        <f t="shared" si="21"/>
        <v>1639.8148148148148</v>
      </c>
      <c r="AN12" s="25">
        <f t="shared" ref="AN12:AQ12" si="22">IF(AN11&gt;599, AN11, 500)</f>
        <v>7343.6781609195377</v>
      </c>
      <c r="AO12" s="25">
        <f t="shared" si="22"/>
        <v>3528.7769784172665</v>
      </c>
      <c r="AP12" s="25">
        <f t="shared" si="22"/>
        <v>2241.5158371040725</v>
      </c>
      <c r="AQ12" s="25">
        <f t="shared" si="22"/>
        <v>1018.8641245972074</v>
      </c>
      <c r="BD12" s="25"/>
      <c r="BE12" s="25"/>
      <c r="BF12" s="25"/>
      <c r="BG12" s="25"/>
      <c r="BH12" s="25"/>
      <c r="BI12" s="25"/>
    </row>
    <row r="13" spans="1:61" x14ac:dyDescent="0.25">
      <c r="B13" s="27">
        <f t="shared" ref="B13:C13" si="23">ROUND(B12, -1)</f>
        <v>7880</v>
      </c>
      <c r="C13" s="27">
        <f t="shared" si="23"/>
        <v>4830</v>
      </c>
      <c r="D13" s="27">
        <f t="shared" ref="D13:E13" si="24">ROUND(D12, -1)</f>
        <v>3100</v>
      </c>
      <c r="E13" s="27">
        <f t="shared" si="24"/>
        <v>1320</v>
      </c>
      <c r="F13" s="27">
        <f>ROUND(F12, -1)</f>
        <v>20000</v>
      </c>
      <c r="G13" s="27">
        <f t="shared" ref="G13:I13" si="25">ROUND(G12, -1)</f>
        <v>9220</v>
      </c>
      <c r="H13" s="27">
        <f t="shared" si="25"/>
        <v>4900</v>
      </c>
      <c r="I13" s="27">
        <f t="shared" si="25"/>
        <v>2250</v>
      </c>
      <c r="J13" s="27">
        <f t="shared" ref="J13" si="26">ROUND(J12, -1)</f>
        <v>1840</v>
      </c>
      <c r="K13" s="27">
        <f t="shared" ref="K13:P13" si="27">ROUND(K12, -1)</f>
        <v>18550</v>
      </c>
      <c r="L13" s="27">
        <f t="shared" si="27"/>
        <v>9620</v>
      </c>
      <c r="M13" s="27">
        <f t="shared" si="27"/>
        <v>4840</v>
      </c>
      <c r="N13" s="27">
        <f t="shared" si="27"/>
        <v>2090</v>
      </c>
      <c r="O13" s="27">
        <f t="shared" si="27"/>
        <v>1770</v>
      </c>
      <c r="P13" s="27">
        <f t="shared" si="27"/>
        <v>1110</v>
      </c>
      <c r="Q13" s="27">
        <f t="shared" ref="Q13:U13" si="28">ROUND(Q12, -1)</f>
        <v>18470</v>
      </c>
      <c r="R13" s="27">
        <f t="shared" si="28"/>
        <v>9070</v>
      </c>
      <c r="S13" s="27">
        <f t="shared" si="28"/>
        <v>4610</v>
      </c>
      <c r="T13" s="27">
        <f t="shared" si="28"/>
        <v>2020</v>
      </c>
      <c r="U13" s="27">
        <f t="shared" si="28"/>
        <v>1680</v>
      </c>
      <c r="V13" s="27">
        <f t="shared" ref="V13:Z13" si="29">ROUND(V12, -1)</f>
        <v>6000</v>
      </c>
      <c r="W13" s="27">
        <f t="shared" si="29"/>
        <v>3000</v>
      </c>
      <c r="X13" s="27">
        <f t="shared" si="29"/>
        <v>1500</v>
      </c>
      <c r="Y13" s="27">
        <f t="shared" si="29"/>
        <v>750</v>
      </c>
      <c r="Z13" s="27">
        <f t="shared" si="29"/>
        <v>600</v>
      </c>
      <c r="AA13" s="27">
        <f t="shared" ref="AA13:AD13" si="30">ROUND(AA12, -1)</f>
        <v>16830</v>
      </c>
      <c r="AB13" s="27">
        <f t="shared" si="30"/>
        <v>8730</v>
      </c>
      <c r="AC13" s="27">
        <f t="shared" si="30"/>
        <v>4640</v>
      </c>
      <c r="AD13" s="27">
        <f t="shared" si="30"/>
        <v>1940</v>
      </c>
      <c r="AE13" s="27">
        <f t="shared" ref="AE13:AH13" si="31">ROUND(AE12, -1)</f>
        <v>7880</v>
      </c>
      <c r="AF13" s="27">
        <f t="shared" si="31"/>
        <v>3760</v>
      </c>
      <c r="AG13" s="27">
        <f t="shared" si="31"/>
        <v>2250</v>
      </c>
      <c r="AH13" s="27">
        <f t="shared" si="31"/>
        <v>920</v>
      </c>
      <c r="AI13" s="27">
        <f t="shared" ref="AI13:AM13" si="32">ROUND(AI12, -1)</f>
        <v>17340</v>
      </c>
      <c r="AJ13" s="27">
        <f t="shared" si="32"/>
        <v>8400</v>
      </c>
      <c r="AK13" s="27">
        <f t="shared" si="32"/>
        <v>4560</v>
      </c>
      <c r="AL13" s="27">
        <f t="shared" si="32"/>
        <v>2000</v>
      </c>
      <c r="AM13" s="27">
        <f t="shared" si="32"/>
        <v>1640</v>
      </c>
      <c r="AN13" s="27">
        <f t="shared" ref="AN13:AQ13" si="33">ROUND(AN12, -1)</f>
        <v>7340</v>
      </c>
      <c r="AO13" s="27">
        <f t="shared" si="33"/>
        <v>3530</v>
      </c>
      <c r="AP13" s="27">
        <f t="shared" si="33"/>
        <v>2240</v>
      </c>
      <c r="AQ13" s="27">
        <f t="shared" si="33"/>
        <v>1020</v>
      </c>
      <c r="BD13" s="27"/>
      <c r="BE13" s="27"/>
      <c r="BF13" s="27"/>
      <c r="BG13" s="27"/>
      <c r="BH13" s="27"/>
      <c r="BI13" s="27"/>
    </row>
    <row r="15" spans="1:61" x14ac:dyDescent="0.25">
      <c r="A15" s="1" t="s">
        <v>54</v>
      </c>
      <c r="B15" s="5" t="s">
        <v>57</v>
      </c>
      <c r="C15" s="5" t="s">
        <v>189</v>
      </c>
      <c r="D15" s="5" t="s">
        <v>230</v>
      </c>
      <c r="E15" s="5" t="s">
        <v>601</v>
      </c>
      <c r="F15" s="5" t="s">
        <v>61</v>
      </c>
      <c r="G15" s="5" t="s">
        <v>152</v>
      </c>
      <c r="H15" s="5" t="s">
        <v>436</v>
      </c>
      <c r="I15" s="5" t="s">
        <v>284</v>
      </c>
      <c r="J15" s="5" t="s">
        <v>505</v>
      </c>
      <c r="K15" s="5" t="s">
        <v>70</v>
      </c>
      <c r="L15" s="5" t="s">
        <v>162</v>
      </c>
      <c r="M15" s="5" t="s">
        <v>406</v>
      </c>
      <c r="N15" s="5" t="s">
        <v>365</v>
      </c>
      <c r="O15" s="5" t="s">
        <v>564</v>
      </c>
      <c r="P15" s="5" t="s">
        <v>660</v>
      </c>
      <c r="Q15" s="5" t="s">
        <v>76</v>
      </c>
      <c r="R15" s="5" t="s">
        <v>80</v>
      </c>
      <c r="S15" s="5" t="s">
        <v>514</v>
      </c>
      <c r="T15" s="5" t="s">
        <v>449</v>
      </c>
      <c r="U15" s="5" t="s">
        <v>667</v>
      </c>
      <c r="V15" s="5" t="s">
        <v>82</v>
      </c>
      <c r="W15" s="5" t="s">
        <v>171</v>
      </c>
      <c r="X15" s="5" t="s">
        <v>175</v>
      </c>
      <c r="Y15" s="5" t="s">
        <v>517</v>
      </c>
      <c r="Z15" s="5" t="s">
        <v>652</v>
      </c>
      <c r="AA15" s="5" t="s">
        <v>88</v>
      </c>
      <c r="AB15" s="5" t="s">
        <v>265</v>
      </c>
      <c r="AC15" s="5" t="s">
        <v>520</v>
      </c>
      <c r="AD15" s="5" t="s">
        <v>597</v>
      </c>
      <c r="AE15" s="5" t="s">
        <v>848</v>
      </c>
      <c r="AF15" s="5" t="s">
        <v>855</v>
      </c>
      <c r="AG15" s="5" t="s">
        <v>910</v>
      </c>
      <c r="AH15" s="5" t="s">
        <v>886</v>
      </c>
      <c r="AI15" s="5" t="s">
        <v>95</v>
      </c>
      <c r="AJ15" s="5" t="s">
        <v>347</v>
      </c>
      <c r="AK15" s="5" t="s">
        <v>551</v>
      </c>
      <c r="AL15" s="5" t="s">
        <v>271</v>
      </c>
      <c r="AM15" s="5" t="s">
        <v>687</v>
      </c>
      <c r="AN15" s="5" t="s">
        <v>763</v>
      </c>
      <c r="AO15" s="5" t="s">
        <v>799</v>
      </c>
      <c r="AP15" s="5" t="s">
        <v>788</v>
      </c>
      <c r="AQ15" s="5" t="s">
        <v>801</v>
      </c>
    </row>
    <row r="16" spans="1:61" x14ac:dyDescent="0.25">
      <c r="B16" s="5" t="s">
        <v>59</v>
      </c>
      <c r="C16" s="5" t="s">
        <v>191</v>
      </c>
      <c r="D16" s="5" t="s">
        <v>314</v>
      </c>
      <c r="E16" s="5" t="s">
        <v>354</v>
      </c>
      <c r="F16" s="5" t="s">
        <v>105</v>
      </c>
      <c r="G16" s="5" t="s">
        <v>237</v>
      </c>
      <c r="H16" s="5" t="s">
        <v>199</v>
      </c>
      <c r="I16" s="5" t="s">
        <v>360</v>
      </c>
      <c r="J16" s="5" t="s">
        <v>675</v>
      </c>
      <c r="K16" s="5" t="s">
        <v>72</v>
      </c>
      <c r="L16" s="5" t="s">
        <v>206</v>
      </c>
      <c r="M16" s="5" t="s">
        <v>445</v>
      </c>
      <c r="N16" s="5" t="s">
        <v>404</v>
      </c>
      <c r="O16" s="5" t="s">
        <v>587</v>
      </c>
      <c r="P16" s="5" t="s">
        <v>676</v>
      </c>
      <c r="Q16" s="5" t="s">
        <v>77</v>
      </c>
      <c r="R16" s="5" t="s">
        <v>333</v>
      </c>
      <c r="S16" s="5" t="s">
        <v>541</v>
      </c>
      <c r="T16" s="5" t="s">
        <v>212</v>
      </c>
      <c r="U16" s="5" t="s">
        <v>683</v>
      </c>
      <c r="V16" s="5" t="s">
        <v>86</v>
      </c>
      <c r="W16" s="5" t="s">
        <v>126</v>
      </c>
      <c r="X16" s="5" t="s">
        <v>174</v>
      </c>
      <c r="Y16" s="5" t="s">
        <v>544</v>
      </c>
      <c r="Z16" s="5" t="s">
        <v>340</v>
      </c>
      <c r="AA16" s="5" t="s">
        <v>91</v>
      </c>
      <c r="AB16" s="5" t="s">
        <v>304</v>
      </c>
      <c r="AC16" s="5" t="s">
        <v>546</v>
      </c>
      <c r="AD16" s="5" t="s">
        <v>669</v>
      </c>
      <c r="AE16" s="5" t="s">
        <v>851</v>
      </c>
      <c r="AF16" s="5" t="s">
        <v>885</v>
      </c>
      <c r="AG16" s="5" t="s">
        <v>911</v>
      </c>
      <c r="AH16" s="5" t="s">
        <v>920</v>
      </c>
      <c r="AI16" s="5" t="s">
        <v>96</v>
      </c>
      <c r="AJ16" s="5" t="s">
        <v>270</v>
      </c>
      <c r="AK16" s="5" t="s">
        <v>98</v>
      </c>
      <c r="AL16" s="5" t="s">
        <v>311</v>
      </c>
      <c r="AM16" s="5" t="s">
        <v>525</v>
      </c>
      <c r="AN16" s="5" t="s">
        <v>765</v>
      </c>
      <c r="AO16" s="5" t="s">
        <v>794</v>
      </c>
      <c r="AP16" s="5" t="s">
        <v>816</v>
      </c>
      <c r="AQ16" s="5" t="s">
        <v>805</v>
      </c>
    </row>
    <row r="17" spans="2:43" x14ac:dyDescent="0.25">
      <c r="B17" s="5" t="s">
        <v>60</v>
      </c>
      <c r="C17" s="5" t="s">
        <v>234</v>
      </c>
      <c r="D17" s="5" t="s">
        <v>277</v>
      </c>
      <c r="E17" s="5" t="s">
        <v>393</v>
      </c>
      <c r="F17" s="5" t="s">
        <v>62</v>
      </c>
      <c r="G17" s="5" t="s">
        <v>318</v>
      </c>
      <c r="H17" s="5" t="s">
        <v>195</v>
      </c>
      <c r="I17" s="5" t="s">
        <v>400</v>
      </c>
      <c r="J17" s="5" t="s">
        <v>690</v>
      </c>
      <c r="K17" s="5" t="s">
        <v>71</v>
      </c>
      <c r="L17" s="5" t="s">
        <v>329</v>
      </c>
      <c r="M17" s="5" t="s">
        <v>478</v>
      </c>
      <c r="N17" s="5" t="s">
        <v>443</v>
      </c>
      <c r="O17" s="5" t="s">
        <v>608</v>
      </c>
      <c r="P17" s="5" t="s">
        <v>691</v>
      </c>
      <c r="Q17" s="5" t="s">
        <v>120</v>
      </c>
      <c r="R17" s="5" t="s">
        <v>166</v>
      </c>
      <c r="S17" s="5" t="s">
        <v>373</v>
      </c>
      <c r="T17" s="5" t="s">
        <v>631</v>
      </c>
      <c r="U17" s="5" t="s">
        <v>613</v>
      </c>
      <c r="V17" s="5" t="s">
        <v>83</v>
      </c>
      <c r="W17" s="5" t="s">
        <v>169</v>
      </c>
      <c r="X17" s="5" t="s">
        <v>259</v>
      </c>
      <c r="Y17" s="5" t="s">
        <v>570</v>
      </c>
      <c r="Z17" s="5" t="s">
        <v>380</v>
      </c>
      <c r="AA17" s="5" t="s">
        <v>132</v>
      </c>
      <c r="AB17" s="5" t="s">
        <v>421</v>
      </c>
      <c r="AC17" s="5" t="s">
        <v>547</v>
      </c>
      <c r="AD17" s="5" t="s">
        <v>685</v>
      </c>
      <c r="AE17" s="5" t="s">
        <v>857</v>
      </c>
      <c r="AF17" s="5" t="s">
        <v>881</v>
      </c>
      <c r="AG17" s="5" t="s">
        <v>912</v>
      </c>
      <c r="AH17" s="5" t="s">
        <v>921</v>
      </c>
      <c r="AI17" s="5" t="s">
        <v>94</v>
      </c>
      <c r="AJ17" s="5" t="s">
        <v>308</v>
      </c>
      <c r="AK17" s="5" t="s">
        <v>227</v>
      </c>
      <c r="AL17" s="5" t="s">
        <v>598</v>
      </c>
      <c r="AM17" s="5" t="s">
        <v>702</v>
      </c>
      <c r="AN17" s="5" t="s">
        <v>771</v>
      </c>
      <c r="AO17" s="5" t="s">
        <v>773</v>
      </c>
      <c r="AP17" s="5" t="s">
        <v>818</v>
      </c>
      <c r="AQ17" s="5" t="s">
        <v>787</v>
      </c>
    </row>
    <row r="18" spans="2:43" x14ac:dyDescent="0.25">
      <c r="B18" s="5" t="s">
        <v>101</v>
      </c>
      <c r="C18" s="5" t="s">
        <v>232</v>
      </c>
      <c r="D18" s="5" t="s">
        <v>317</v>
      </c>
      <c r="E18" s="5" t="s">
        <v>622</v>
      </c>
      <c r="F18" s="5" t="s">
        <v>106</v>
      </c>
      <c r="G18" s="5" t="s">
        <v>357</v>
      </c>
      <c r="H18" s="5" t="s">
        <v>198</v>
      </c>
      <c r="I18" s="5" t="s">
        <v>323</v>
      </c>
      <c r="J18" s="5" t="s">
        <v>403</v>
      </c>
      <c r="K18" s="5" t="s">
        <v>116</v>
      </c>
      <c r="L18" s="5" t="s">
        <v>368</v>
      </c>
      <c r="M18" s="5" t="s">
        <v>509</v>
      </c>
      <c r="N18" s="5" t="s">
        <v>476</v>
      </c>
      <c r="O18" s="5" t="s">
        <v>535</v>
      </c>
      <c r="P18" s="5" t="s">
        <v>706</v>
      </c>
      <c r="Q18" s="5" t="s">
        <v>121</v>
      </c>
      <c r="R18" s="5" t="s">
        <v>207</v>
      </c>
      <c r="S18" s="5" t="s">
        <v>412</v>
      </c>
      <c r="T18" s="5" t="s">
        <v>452</v>
      </c>
      <c r="U18" s="5" t="s">
        <v>633</v>
      </c>
      <c r="V18" s="5" t="s">
        <v>87</v>
      </c>
      <c r="W18" s="5" t="s">
        <v>213</v>
      </c>
      <c r="X18" s="5" t="s">
        <v>170</v>
      </c>
      <c r="Y18" s="5" t="s">
        <v>593</v>
      </c>
      <c r="Z18" s="5" t="s">
        <v>668</v>
      </c>
      <c r="AA18" s="5" t="s">
        <v>176</v>
      </c>
      <c r="AB18" s="5" t="s">
        <v>136</v>
      </c>
      <c r="AC18" s="5" t="s">
        <v>346</v>
      </c>
      <c r="AD18" s="5" t="s">
        <v>636</v>
      </c>
      <c r="AE18" s="5" t="s">
        <v>854</v>
      </c>
      <c r="AF18" s="5" t="s">
        <v>888</v>
      </c>
      <c r="AG18" s="5" t="s">
        <v>890</v>
      </c>
      <c r="AH18" s="5" t="s">
        <v>922</v>
      </c>
      <c r="AI18" s="5" t="s">
        <v>138</v>
      </c>
      <c r="AJ18" s="5" t="s">
        <v>348</v>
      </c>
      <c r="AK18" s="5" t="s">
        <v>269</v>
      </c>
      <c r="AL18" s="5" t="s">
        <v>619</v>
      </c>
      <c r="AM18" s="5" t="s">
        <v>716</v>
      </c>
      <c r="AN18" s="5" t="s">
        <v>764</v>
      </c>
      <c r="AO18" s="5" t="s">
        <v>779</v>
      </c>
      <c r="AP18" s="5" t="s">
        <v>820</v>
      </c>
      <c r="AQ18" s="5" t="s">
        <v>808</v>
      </c>
    </row>
    <row r="19" spans="2:43" x14ac:dyDescent="0.25">
      <c r="B19" s="5" t="s">
        <v>56</v>
      </c>
      <c r="C19" s="5" t="s">
        <v>276</v>
      </c>
      <c r="D19" s="5" t="s">
        <v>190</v>
      </c>
      <c r="E19" s="5" t="s">
        <v>272</v>
      </c>
      <c r="F19" s="5" t="s">
        <v>150</v>
      </c>
      <c r="G19" s="5" t="s">
        <v>107</v>
      </c>
      <c r="H19" s="5" t="s">
        <v>241</v>
      </c>
      <c r="I19" s="5" t="s">
        <v>531</v>
      </c>
      <c r="J19" s="5" t="s">
        <v>533</v>
      </c>
      <c r="K19" s="5" t="s">
        <v>160</v>
      </c>
      <c r="L19" s="5" t="s">
        <v>249</v>
      </c>
      <c r="M19" s="5" t="s">
        <v>408</v>
      </c>
      <c r="N19" s="5" t="s">
        <v>507</v>
      </c>
      <c r="O19" s="5" t="s">
        <v>561</v>
      </c>
      <c r="P19" s="5" t="s">
        <v>720</v>
      </c>
      <c r="Q19" s="5" t="s">
        <v>75</v>
      </c>
      <c r="R19" s="5" t="s">
        <v>124</v>
      </c>
      <c r="S19" s="5" t="s">
        <v>451</v>
      </c>
      <c r="T19" s="5" t="s">
        <v>539</v>
      </c>
      <c r="U19" s="5" t="s">
        <v>698</v>
      </c>
      <c r="V19" s="5" t="s">
        <v>84</v>
      </c>
      <c r="W19" s="5" t="s">
        <v>256</v>
      </c>
      <c r="X19" s="5" t="s">
        <v>375</v>
      </c>
      <c r="Y19" s="5" t="s">
        <v>301</v>
      </c>
      <c r="Z19" s="5" t="s">
        <v>379</v>
      </c>
      <c r="AA19" s="5" t="s">
        <v>90</v>
      </c>
      <c r="AB19" s="5" t="s">
        <v>179</v>
      </c>
      <c r="AC19" s="5" t="s">
        <v>458</v>
      </c>
      <c r="AD19" s="5" t="s">
        <v>700</v>
      </c>
      <c r="AE19" s="5" t="s">
        <v>860</v>
      </c>
      <c r="AF19" s="5" t="s">
        <v>891</v>
      </c>
      <c r="AG19" s="5" t="s">
        <v>913</v>
      </c>
      <c r="AH19" s="5" t="s">
        <v>902</v>
      </c>
      <c r="AI19" s="5" t="s">
        <v>140</v>
      </c>
      <c r="AJ19" s="5" t="s">
        <v>141</v>
      </c>
      <c r="AK19" s="5" t="s">
        <v>460</v>
      </c>
      <c r="AL19" s="5" t="s">
        <v>351</v>
      </c>
      <c r="AM19" s="5" t="s">
        <v>726</v>
      </c>
      <c r="AN19" s="5" t="s">
        <v>769</v>
      </c>
      <c r="AO19" s="5" t="s">
        <v>803</v>
      </c>
      <c r="AP19" s="5" t="s">
        <v>789</v>
      </c>
      <c r="AQ19" s="5" t="s">
        <v>832</v>
      </c>
    </row>
    <row r="20" spans="2:43" x14ac:dyDescent="0.25">
      <c r="B20" s="5" t="s">
        <v>58</v>
      </c>
      <c r="C20" s="5" t="s">
        <v>231</v>
      </c>
      <c r="D20" s="5" t="s">
        <v>352</v>
      </c>
      <c r="E20" s="5" t="s">
        <v>432</v>
      </c>
      <c r="F20" s="5" t="s">
        <v>149</v>
      </c>
      <c r="G20" s="5" t="s">
        <v>153</v>
      </c>
      <c r="H20" s="5" t="s">
        <v>201</v>
      </c>
      <c r="I20" s="5" t="s">
        <v>362</v>
      </c>
      <c r="J20" s="5" t="s">
        <v>442</v>
      </c>
      <c r="K20" s="5" t="s">
        <v>73</v>
      </c>
      <c r="L20" s="5" t="s">
        <v>407</v>
      </c>
      <c r="M20" s="5" t="s">
        <v>536</v>
      </c>
      <c r="N20" s="5" t="s">
        <v>626</v>
      </c>
      <c r="O20" s="5" t="s">
        <v>584</v>
      </c>
      <c r="P20" s="5" t="s">
        <v>740</v>
      </c>
      <c r="Q20" s="5" t="s">
        <v>119</v>
      </c>
      <c r="R20" s="5" t="s">
        <v>372</v>
      </c>
      <c r="S20" s="5" t="s">
        <v>484</v>
      </c>
      <c r="T20" s="5" t="s">
        <v>482</v>
      </c>
      <c r="U20" s="5" t="s">
        <v>651</v>
      </c>
      <c r="V20" s="5" t="s">
        <v>81</v>
      </c>
      <c r="W20" s="5" t="s">
        <v>172</v>
      </c>
      <c r="X20" s="5" t="s">
        <v>218</v>
      </c>
      <c r="Y20" s="5" t="s">
        <v>302</v>
      </c>
      <c r="Z20" s="5" t="s">
        <v>684</v>
      </c>
      <c r="AA20" s="5" t="s">
        <v>220</v>
      </c>
      <c r="AB20" s="5" t="s">
        <v>344</v>
      </c>
      <c r="AC20" s="5" t="s">
        <v>491</v>
      </c>
      <c r="AD20" s="5" t="s">
        <v>715</v>
      </c>
      <c r="AE20" s="5" t="s">
        <v>866</v>
      </c>
      <c r="AF20" s="5" t="s">
        <v>861</v>
      </c>
      <c r="AG20" s="5" t="s">
        <v>893</v>
      </c>
      <c r="AH20" s="5" t="s">
        <v>856</v>
      </c>
      <c r="AI20" s="5" t="s">
        <v>93</v>
      </c>
      <c r="AJ20" s="5" t="s">
        <v>185</v>
      </c>
      <c r="AK20" s="5" t="s">
        <v>577</v>
      </c>
      <c r="AL20" s="5" t="s">
        <v>639</v>
      </c>
      <c r="AM20" s="5" t="s">
        <v>464</v>
      </c>
      <c r="AN20" s="5" t="s">
        <v>770</v>
      </c>
      <c r="AO20" s="5" t="s">
        <v>798</v>
      </c>
      <c r="AP20" s="5" t="s">
        <v>822</v>
      </c>
      <c r="AQ20" s="5" t="s">
        <v>825</v>
      </c>
    </row>
    <row r="21" spans="2:43" x14ac:dyDescent="0.25">
      <c r="B21" s="5" t="s">
        <v>55</v>
      </c>
      <c r="C21" s="5" t="s">
        <v>102</v>
      </c>
      <c r="D21" s="5" t="s">
        <v>555</v>
      </c>
      <c r="E21" s="5" t="s">
        <v>312</v>
      </c>
      <c r="F21" s="5" t="s">
        <v>194</v>
      </c>
      <c r="G21" s="5" t="s">
        <v>279</v>
      </c>
      <c r="H21" s="5" t="s">
        <v>244</v>
      </c>
      <c r="I21" s="5" t="s">
        <v>439</v>
      </c>
      <c r="J21" s="5" t="s">
        <v>474</v>
      </c>
      <c r="K21" s="5" t="s">
        <v>204</v>
      </c>
      <c r="L21" s="5" t="s">
        <v>159</v>
      </c>
      <c r="M21" s="5" t="s">
        <v>562</v>
      </c>
      <c r="N21" s="5" t="s">
        <v>645</v>
      </c>
      <c r="O21" s="5" t="s">
        <v>605</v>
      </c>
      <c r="P21" s="5" t="s">
        <v>743</v>
      </c>
      <c r="Q21" s="5" t="s">
        <v>165</v>
      </c>
      <c r="R21" s="5" t="s">
        <v>210</v>
      </c>
      <c r="S21" s="5" t="s">
        <v>515</v>
      </c>
      <c r="T21" s="5" t="s">
        <v>649</v>
      </c>
      <c r="U21" s="5" t="s">
        <v>609</v>
      </c>
      <c r="V21" s="5" t="s">
        <v>125</v>
      </c>
      <c r="W21" s="5" t="s">
        <v>296</v>
      </c>
      <c r="X21" s="5" t="s">
        <v>215</v>
      </c>
      <c r="Y21" s="5" t="s">
        <v>614</v>
      </c>
      <c r="Z21" s="5" t="s">
        <v>419</v>
      </c>
      <c r="AA21" s="5" t="s">
        <v>134</v>
      </c>
      <c r="AB21" s="5" t="s">
        <v>223</v>
      </c>
      <c r="AC21" s="5" t="s">
        <v>521</v>
      </c>
      <c r="AD21" s="5" t="s">
        <v>725</v>
      </c>
      <c r="AE21" s="5" t="s">
        <v>871</v>
      </c>
      <c r="AF21" s="5" t="s">
        <v>894</v>
      </c>
      <c r="AG21" s="5" t="s">
        <v>914</v>
      </c>
      <c r="AH21" s="5" t="s">
        <v>889</v>
      </c>
      <c r="AI21" s="5" t="s">
        <v>184</v>
      </c>
      <c r="AJ21" s="5" t="s">
        <v>229</v>
      </c>
      <c r="AK21" s="5" t="s">
        <v>493</v>
      </c>
      <c r="AL21" s="5" t="s">
        <v>388</v>
      </c>
      <c r="AM21" s="5" t="s">
        <v>657</v>
      </c>
      <c r="AN21" s="5" t="s">
        <v>767</v>
      </c>
      <c r="AO21" s="5" t="s">
        <v>784</v>
      </c>
      <c r="AP21" s="5" t="s">
        <v>774</v>
      </c>
      <c r="AQ21" s="5" t="s">
        <v>834</v>
      </c>
    </row>
    <row r="22" spans="2:43" x14ac:dyDescent="0.25">
      <c r="B22" s="5" t="s">
        <v>99</v>
      </c>
      <c r="C22" s="5" t="s">
        <v>273</v>
      </c>
      <c r="D22" s="5" t="s">
        <v>233</v>
      </c>
      <c r="E22" s="5" t="s">
        <v>500</v>
      </c>
      <c r="F22" s="5" t="s">
        <v>64</v>
      </c>
      <c r="G22" s="5" t="s">
        <v>111</v>
      </c>
      <c r="H22" s="5" t="s">
        <v>243</v>
      </c>
      <c r="I22" s="5" t="s">
        <v>557</v>
      </c>
      <c r="J22" s="5" t="s">
        <v>559</v>
      </c>
      <c r="K22" s="5" t="s">
        <v>117</v>
      </c>
      <c r="L22" s="5" t="s">
        <v>158</v>
      </c>
      <c r="M22" s="5" t="s">
        <v>479</v>
      </c>
      <c r="N22" s="5" t="s">
        <v>662</v>
      </c>
      <c r="O22" s="5" t="s">
        <v>709</v>
      </c>
      <c r="P22" s="5" t="s">
        <v>746</v>
      </c>
      <c r="Q22" s="5" t="s">
        <v>79</v>
      </c>
      <c r="R22" s="5" t="s">
        <v>295</v>
      </c>
      <c r="S22" s="5" t="s">
        <v>374</v>
      </c>
      <c r="T22" s="5" t="s">
        <v>565</v>
      </c>
      <c r="U22" s="5" t="s">
        <v>629</v>
      </c>
      <c r="V22" s="5" t="s">
        <v>131</v>
      </c>
      <c r="W22" s="5" t="s">
        <v>216</v>
      </c>
      <c r="X22" s="5" t="s">
        <v>414</v>
      </c>
      <c r="Y22" s="5" t="s">
        <v>634</v>
      </c>
      <c r="Z22" s="5" t="s">
        <v>699</v>
      </c>
      <c r="AA22" s="5" t="s">
        <v>89</v>
      </c>
      <c r="AB22" s="5" t="s">
        <v>383</v>
      </c>
      <c r="AC22" s="5" t="s">
        <v>548</v>
      </c>
      <c r="AD22" s="5" t="s">
        <v>574</v>
      </c>
      <c r="AE22" s="5" t="s">
        <v>876</v>
      </c>
      <c r="AF22" s="5" t="s">
        <v>897</v>
      </c>
      <c r="AG22" s="5" t="s">
        <v>896</v>
      </c>
      <c r="AH22" s="5" t="s">
        <v>905</v>
      </c>
      <c r="AI22" s="5" t="s">
        <v>182</v>
      </c>
      <c r="AJ22" s="5" t="s">
        <v>310</v>
      </c>
      <c r="AK22" s="5" t="s">
        <v>428</v>
      </c>
      <c r="AL22" s="5" t="s">
        <v>620</v>
      </c>
      <c r="AM22" s="5" t="s">
        <v>673</v>
      </c>
      <c r="AN22" s="5" t="s">
        <v>776</v>
      </c>
      <c r="AO22" s="5" t="s">
        <v>807</v>
      </c>
      <c r="AP22" s="5" t="s">
        <v>824</v>
      </c>
      <c r="AQ22" s="5" t="s">
        <v>796</v>
      </c>
    </row>
    <row r="23" spans="2:43" x14ac:dyDescent="0.25">
      <c r="B23" s="5" t="s">
        <v>103</v>
      </c>
      <c r="C23" s="5" t="s">
        <v>316</v>
      </c>
      <c r="D23" s="5" t="s">
        <v>275</v>
      </c>
      <c r="E23" s="5" t="s">
        <v>431</v>
      </c>
      <c r="F23" s="5" t="s">
        <v>66</v>
      </c>
      <c r="G23" s="5" t="s">
        <v>113</v>
      </c>
      <c r="H23" s="5" t="s">
        <v>282</v>
      </c>
      <c r="I23" s="5" t="s">
        <v>324</v>
      </c>
      <c r="J23" s="5" t="s">
        <v>197</v>
      </c>
      <c r="K23" s="5" t="s">
        <v>161</v>
      </c>
      <c r="L23" s="5" t="s">
        <v>328</v>
      </c>
      <c r="M23" s="5" t="s">
        <v>510</v>
      </c>
      <c r="N23" s="5" t="s">
        <v>678</v>
      </c>
      <c r="O23" s="5" t="s">
        <v>722</v>
      </c>
      <c r="P23" s="5" t="s">
        <v>748</v>
      </c>
      <c r="Q23" s="5" t="s">
        <v>123</v>
      </c>
      <c r="R23" s="5" t="s">
        <v>253</v>
      </c>
      <c r="S23" s="5" t="s">
        <v>542</v>
      </c>
      <c r="T23" s="5" t="s">
        <v>588</v>
      </c>
      <c r="U23" s="5" t="s">
        <v>648</v>
      </c>
      <c r="V23" s="5" t="s">
        <v>85</v>
      </c>
      <c r="W23" s="5" t="s">
        <v>336</v>
      </c>
      <c r="X23" s="5" t="s">
        <v>173</v>
      </c>
      <c r="Y23" s="5" t="s">
        <v>260</v>
      </c>
      <c r="Z23" s="5" t="s">
        <v>714</v>
      </c>
      <c r="AA23" s="5" t="s">
        <v>178</v>
      </c>
      <c r="AB23" s="5" t="s">
        <v>422</v>
      </c>
      <c r="AC23" s="5" t="s">
        <v>385</v>
      </c>
      <c r="AD23" s="5" t="s">
        <v>654</v>
      </c>
      <c r="AE23" s="5" t="s">
        <v>879</v>
      </c>
      <c r="AF23" s="5" t="s">
        <v>900</v>
      </c>
      <c r="AG23" s="5" t="s">
        <v>915</v>
      </c>
      <c r="AH23" s="5" t="s">
        <v>923</v>
      </c>
      <c r="AI23" s="5" t="s">
        <v>137</v>
      </c>
      <c r="AJ23" s="5" t="s">
        <v>183</v>
      </c>
      <c r="AK23" s="5" t="s">
        <v>309</v>
      </c>
      <c r="AL23" s="5" t="s">
        <v>640</v>
      </c>
      <c r="AM23" s="5" t="s">
        <v>688</v>
      </c>
      <c r="AN23" s="5" t="s">
        <v>781</v>
      </c>
      <c r="AO23" s="5" t="s">
        <v>768</v>
      </c>
      <c r="AP23" s="5" t="s">
        <v>792</v>
      </c>
      <c r="AQ23" s="5" t="s">
        <v>836</v>
      </c>
    </row>
    <row r="24" spans="2:43" x14ac:dyDescent="0.25">
      <c r="B24" s="5" t="s">
        <v>100</v>
      </c>
      <c r="C24" s="5" t="s">
        <v>355</v>
      </c>
      <c r="D24" s="5" t="s">
        <v>356</v>
      </c>
      <c r="E24" s="5" t="s">
        <v>430</v>
      </c>
      <c r="F24" s="5" t="s">
        <v>65</v>
      </c>
      <c r="G24" s="5" t="s">
        <v>196</v>
      </c>
      <c r="H24" s="5" t="s">
        <v>242</v>
      </c>
      <c r="I24" s="5" t="s">
        <v>558</v>
      </c>
      <c r="J24" s="5" t="s">
        <v>437</v>
      </c>
      <c r="K24" s="5" t="s">
        <v>205</v>
      </c>
      <c r="L24" s="5" t="s">
        <v>446</v>
      </c>
      <c r="M24" s="5" t="s">
        <v>585</v>
      </c>
      <c r="N24" s="5" t="s">
        <v>693</v>
      </c>
      <c r="O24" s="5" t="s">
        <v>730</v>
      </c>
      <c r="P24" s="5" t="s">
        <v>750</v>
      </c>
      <c r="Q24" s="5" t="s">
        <v>209</v>
      </c>
      <c r="R24" s="5" t="s">
        <v>250</v>
      </c>
      <c r="S24" s="5" t="s">
        <v>568</v>
      </c>
      <c r="T24" s="5" t="s">
        <v>485</v>
      </c>
      <c r="U24" s="5" t="s">
        <v>665</v>
      </c>
      <c r="V24" s="5" t="s">
        <v>130</v>
      </c>
      <c r="W24" s="5" t="s">
        <v>129</v>
      </c>
      <c r="X24" s="5" t="s">
        <v>453</v>
      </c>
      <c r="Y24" s="5" t="s">
        <v>377</v>
      </c>
      <c r="Z24" s="5" t="s">
        <v>724</v>
      </c>
      <c r="AA24" s="5" t="s">
        <v>263</v>
      </c>
      <c r="AB24" s="5" t="s">
        <v>456</v>
      </c>
      <c r="AC24" s="5" t="s">
        <v>180</v>
      </c>
      <c r="AD24" s="5" t="s">
        <v>670</v>
      </c>
      <c r="AE24" s="5" t="s">
        <v>863</v>
      </c>
      <c r="AF24" s="5" t="s">
        <v>884</v>
      </c>
      <c r="AG24" s="5" t="s">
        <v>916</v>
      </c>
      <c r="AH24" s="5" t="s">
        <v>924</v>
      </c>
      <c r="AI24" s="5" t="s">
        <v>97</v>
      </c>
      <c r="AJ24" s="5" t="s">
        <v>350</v>
      </c>
      <c r="AK24" s="5" t="s">
        <v>349</v>
      </c>
      <c r="AL24" s="5" t="s">
        <v>142</v>
      </c>
      <c r="AM24" s="5" t="s">
        <v>703</v>
      </c>
      <c r="AN24" s="5" t="s">
        <v>775</v>
      </c>
      <c r="AO24" s="5" t="s">
        <v>778</v>
      </c>
      <c r="AP24" s="5" t="s">
        <v>793</v>
      </c>
      <c r="AQ24" s="5" t="s">
        <v>827</v>
      </c>
    </row>
    <row r="25" spans="2:43" x14ac:dyDescent="0.25">
      <c r="B25" s="5" t="s">
        <v>104</v>
      </c>
      <c r="C25" s="5" t="s">
        <v>394</v>
      </c>
      <c r="D25" s="5" t="s">
        <v>353</v>
      </c>
      <c r="E25" s="5" t="s">
        <v>465</v>
      </c>
      <c r="F25" s="5" t="s">
        <v>63</v>
      </c>
      <c r="G25" s="5" t="s">
        <v>112</v>
      </c>
      <c r="H25" s="5" t="s">
        <v>238</v>
      </c>
      <c r="I25" s="5" t="s">
        <v>582</v>
      </c>
      <c r="J25" s="5" t="s">
        <v>472</v>
      </c>
      <c r="K25" s="5" t="s">
        <v>248</v>
      </c>
      <c r="L25" s="5" t="s">
        <v>203</v>
      </c>
      <c r="M25" s="5" t="s">
        <v>245</v>
      </c>
      <c r="N25" s="5" t="s">
        <v>627</v>
      </c>
      <c r="O25" s="5" t="s">
        <v>708</v>
      </c>
      <c r="P25" s="5" t="s">
        <v>741</v>
      </c>
      <c r="Q25" s="5" t="s">
        <v>78</v>
      </c>
      <c r="R25" s="5" t="s">
        <v>291</v>
      </c>
      <c r="S25" s="5" t="s">
        <v>332</v>
      </c>
      <c r="T25" s="5" t="s">
        <v>612</v>
      </c>
      <c r="U25" s="5" t="s">
        <v>589</v>
      </c>
      <c r="V25" s="5" t="s">
        <v>127</v>
      </c>
      <c r="X25" s="5" t="s">
        <v>258</v>
      </c>
      <c r="Y25" s="5" t="s">
        <v>214</v>
      </c>
      <c r="Z25" s="5" t="s">
        <v>732</v>
      </c>
      <c r="AA25" s="5" t="s">
        <v>133</v>
      </c>
      <c r="AB25" s="5" t="s">
        <v>305</v>
      </c>
      <c r="AC25" s="5" t="s">
        <v>424</v>
      </c>
      <c r="AD25" s="5" t="s">
        <v>596</v>
      </c>
      <c r="AE25" s="5" t="s">
        <v>869</v>
      </c>
      <c r="AF25" s="5" t="s">
        <v>903</v>
      </c>
      <c r="AG25" s="5" t="s">
        <v>899</v>
      </c>
      <c r="AH25" s="5" t="s">
        <v>925</v>
      </c>
      <c r="AI25" s="5" t="s">
        <v>139</v>
      </c>
      <c r="AJ25" s="5" t="s">
        <v>387</v>
      </c>
      <c r="AK25" s="5" t="s">
        <v>463</v>
      </c>
      <c r="AL25" s="5" t="s">
        <v>427</v>
      </c>
      <c r="AM25" s="5" t="s">
        <v>717</v>
      </c>
      <c r="AN25" s="5" t="s">
        <v>766</v>
      </c>
      <c r="AO25" s="5" t="s">
        <v>802</v>
      </c>
      <c r="AP25" s="5" t="s">
        <v>826</v>
      </c>
      <c r="AQ25" s="5" t="s">
        <v>838</v>
      </c>
    </row>
    <row r="26" spans="2:43" x14ac:dyDescent="0.25">
      <c r="B26" s="5" t="s">
        <v>143</v>
      </c>
      <c r="C26" s="5" t="s">
        <v>433</v>
      </c>
      <c r="D26" s="5" t="s">
        <v>395</v>
      </c>
      <c r="E26" s="5" t="s">
        <v>497</v>
      </c>
      <c r="F26" s="5" t="s">
        <v>193</v>
      </c>
      <c r="G26" s="5" t="s">
        <v>156</v>
      </c>
      <c r="H26" s="5" t="s">
        <v>280</v>
      </c>
      <c r="I26" s="5" t="s">
        <v>364</v>
      </c>
      <c r="J26" s="5" t="s">
        <v>401</v>
      </c>
      <c r="K26" s="5" t="s">
        <v>114</v>
      </c>
      <c r="L26" s="5" t="s">
        <v>290</v>
      </c>
      <c r="M26" s="5" t="s">
        <v>286</v>
      </c>
      <c r="N26" s="5" t="s">
        <v>646</v>
      </c>
      <c r="O26" s="5" t="s">
        <v>721</v>
      </c>
      <c r="P26" s="5" t="s">
        <v>744</v>
      </c>
      <c r="Q26" s="5" t="s">
        <v>164</v>
      </c>
      <c r="R26" s="5" t="s">
        <v>251</v>
      </c>
      <c r="S26" s="5" t="s">
        <v>413</v>
      </c>
      <c r="T26" s="5" t="s">
        <v>513</v>
      </c>
      <c r="U26" s="5" t="s">
        <v>681</v>
      </c>
      <c r="V26" s="5" t="s">
        <v>128</v>
      </c>
      <c r="X26" s="5" t="s">
        <v>261</v>
      </c>
      <c r="Y26" s="5" t="s">
        <v>342</v>
      </c>
      <c r="Z26" s="5" t="s">
        <v>737</v>
      </c>
      <c r="AA26" s="5" t="s">
        <v>177</v>
      </c>
      <c r="AB26" s="5" t="s">
        <v>489</v>
      </c>
      <c r="AC26" s="5" t="s">
        <v>459</v>
      </c>
      <c r="AD26" s="5" t="s">
        <v>617</v>
      </c>
      <c r="AE26" s="5" t="s">
        <v>882</v>
      </c>
      <c r="AF26" s="5" t="s">
        <v>906</v>
      </c>
      <c r="AG26" s="5" t="s">
        <v>850</v>
      </c>
      <c r="AH26" s="5" t="s">
        <v>870</v>
      </c>
      <c r="AI26" s="5" t="s">
        <v>181</v>
      </c>
      <c r="AJ26" s="5" t="s">
        <v>426</v>
      </c>
      <c r="AK26" s="5" t="s">
        <v>496</v>
      </c>
      <c r="AL26" s="5" t="s">
        <v>656</v>
      </c>
      <c r="AM26" s="5" t="s">
        <v>727</v>
      </c>
      <c r="AN26" s="5" t="s">
        <v>786</v>
      </c>
      <c r="AO26" s="5" t="s">
        <v>806</v>
      </c>
      <c r="AP26" s="5" t="s">
        <v>782</v>
      </c>
      <c r="AQ26" s="5" t="s">
        <v>839</v>
      </c>
    </row>
    <row r="27" spans="2:43" x14ac:dyDescent="0.25">
      <c r="B27" s="5" t="s">
        <v>144</v>
      </c>
      <c r="C27" s="5" t="s">
        <v>235</v>
      </c>
      <c r="D27" s="5" t="s">
        <v>580</v>
      </c>
      <c r="E27" s="5" t="s">
        <v>466</v>
      </c>
      <c r="F27" s="5" t="s">
        <v>236</v>
      </c>
      <c r="G27" s="5" t="s">
        <v>154</v>
      </c>
      <c r="H27" s="5" t="s">
        <v>470</v>
      </c>
      <c r="I27" s="5" t="s">
        <v>399</v>
      </c>
      <c r="J27" s="5" t="s">
        <v>705</v>
      </c>
      <c r="K27" s="5" t="s">
        <v>74</v>
      </c>
      <c r="L27" s="5" t="s">
        <v>367</v>
      </c>
      <c r="M27" s="5" t="s">
        <v>537</v>
      </c>
      <c r="N27" s="5" t="s">
        <v>663</v>
      </c>
      <c r="O27" s="5" t="s">
        <v>729</v>
      </c>
      <c r="P27" s="5" t="s">
        <v>747</v>
      </c>
      <c r="Q27" s="5" t="s">
        <v>167</v>
      </c>
      <c r="R27" s="5" t="s">
        <v>411</v>
      </c>
      <c r="S27" s="5" t="s">
        <v>591</v>
      </c>
      <c r="T27" s="5" t="s">
        <v>540</v>
      </c>
      <c r="U27" s="5" t="s">
        <v>255</v>
      </c>
      <c r="X27" s="5" t="s">
        <v>217</v>
      </c>
      <c r="Y27" s="5" t="s">
        <v>416</v>
      </c>
      <c r="Z27" s="5" t="s">
        <v>742</v>
      </c>
      <c r="AA27" s="5" t="s">
        <v>303</v>
      </c>
      <c r="AB27" s="5" t="s">
        <v>519</v>
      </c>
      <c r="AC27" s="5" t="s">
        <v>492</v>
      </c>
      <c r="AD27" s="5" t="s">
        <v>637</v>
      </c>
      <c r="AE27" s="5" t="s">
        <v>853</v>
      </c>
      <c r="AF27" s="5" t="s">
        <v>887</v>
      </c>
      <c r="AG27" s="5" t="s">
        <v>917</v>
      </c>
      <c r="AH27" s="5" t="s">
        <v>875</v>
      </c>
      <c r="AI27" s="5" t="s">
        <v>225</v>
      </c>
      <c r="AJ27" s="5" t="s">
        <v>386</v>
      </c>
      <c r="AK27" s="5" t="s">
        <v>523</v>
      </c>
      <c r="AL27" s="5" t="s">
        <v>186</v>
      </c>
      <c r="AM27" s="5" t="s">
        <v>733</v>
      </c>
      <c r="AN27" s="5" t="s">
        <v>791</v>
      </c>
      <c r="AO27" s="5" t="s">
        <v>777</v>
      </c>
      <c r="AP27" s="5" t="s">
        <v>815</v>
      </c>
      <c r="AQ27" s="5" t="s">
        <v>811</v>
      </c>
    </row>
    <row r="28" spans="2:43" x14ac:dyDescent="0.25">
      <c r="B28" s="5" t="s">
        <v>147</v>
      </c>
      <c r="C28" s="5" t="s">
        <v>274</v>
      </c>
      <c r="D28" s="5" t="s">
        <v>434</v>
      </c>
      <c r="E28" s="5" t="s">
        <v>527</v>
      </c>
      <c r="F28" s="5" t="s">
        <v>278</v>
      </c>
      <c r="G28" s="5" t="s">
        <v>319</v>
      </c>
      <c r="H28" s="5" t="s">
        <v>322</v>
      </c>
      <c r="I28" s="5" t="s">
        <v>363</v>
      </c>
      <c r="J28" s="5" t="s">
        <v>504</v>
      </c>
      <c r="K28" s="5" t="s">
        <v>247</v>
      </c>
      <c r="L28" s="5" t="s">
        <v>246</v>
      </c>
      <c r="M28" s="5" t="s">
        <v>563</v>
      </c>
      <c r="N28" s="5" t="s">
        <v>327</v>
      </c>
      <c r="O28" s="5" t="s">
        <v>735</v>
      </c>
      <c r="P28" s="5" t="s">
        <v>749</v>
      </c>
      <c r="Q28" s="5" t="s">
        <v>208</v>
      </c>
      <c r="R28" s="5" t="s">
        <v>331</v>
      </c>
      <c r="S28" s="5" t="s">
        <v>371</v>
      </c>
      <c r="T28" s="5" t="s">
        <v>516</v>
      </c>
      <c r="U28" s="5" t="s">
        <v>696</v>
      </c>
      <c r="X28" s="5" t="s">
        <v>298</v>
      </c>
      <c r="Y28" s="5" t="s">
        <v>454</v>
      </c>
      <c r="Z28" s="5" t="s">
        <v>745</v>
      </c>
      <c r="AA28" s="5" t="s">
        <v>221</v>
      </c>
      <c r="AB28" s="5" t="s">
        <v>345</v>
      </c>
      <c r="AC28" s="5" t="s">
        <v>522</v>
      </c>
      <c r="AD28" s="5" t="s">
        <v>224</v>
      </c>
      <c r="AE28" s="5" t="s">
        <v>859</v>
      </c>
      <c r="AF28" s="5" t="s">
        <v>908</v>
      </c>
      <c r="AG28" s="5" t="s">
        <v>872</v>
      </c>
      <c r="AH28" s="5" t="s">
        <v>926</v>
      </c>
      <c r="AI28" s="5" t="s">
        <v>267</v>
      </c>
      <c r="AJ28" s="5" t="s">
        <v>425</v>
      </c>
      <c r="AK28" s="5" t="s">
        <v>550</v>
      </c>
      <c r="AL28" s="5" t="s">
        <v>390</v>
      </c>
      <c r="AM28" s="5" t="s">
        <v>552</v>
      </c>
      <c r="AN28" s="5" t="s">
        <v>780</v>
      </c>
      <c r="AO28" s="5" t="s">
        <v>810</v>
      </c>
      <c r="AP28" s="5" t="s">
        <v>797</v>
      </c>
      <c r="AQ28" s="5" t="s">
        <v>840</v>
      </c>
    </row>
    <row r="29" spans="2:43" x14ac:dyDescent="0.25">
      <c r="B29" s="5" t="s">
        <v>188</v>
      </c>
      <c r="C29" s="5" t="s">
        <v>467</v>
      </c>
      <c r="D29" s="5" t="s">
        <v>468</v>
      </c>
      <c r="E29" s="5" t="s">
        <v>554</v>
      </c>
      <c r="F29" s="5" t="s">
        <v>69</v>
      </c>
      <c r="G29" s="5" t="s">
        <v>396</v>
      </c>
      <c r="H29" s="5" t="s">
        <v>361</v>
      </c>
      <c r="I29" s="5" t="s">
        <v>603</v>
      </c>
      <c r="J29" s="5" t="s">
        <v>581</v>
      </c>
      <c r="K29" s="5" t="s">
        <v>289</v>
      </c>
      <c r="L29" s="5" t="s">
        <v>330</v>
      </c>
      <c r="M29" s="5" t="s">
        <v>586</v>
      </c>
      <c r="N29" s="5" t="s">
        <v>679</v>
      </c>
      <c r="O29" s="5" t="s">
        <v>560</v>
      </c>
      <c r="P29" s="5" t="s">
        <v>661</v>
      </c>
      <c r="Q29" s="5" t="s">
        <v>252</v>
      </c>
      <c r="R29" s="5" t="s">
        <v>335</v>
      </c>
      <c r="S29" s="5" t="s">
        <v>567</v>
      </c>
      <c r="T29" s="5" t="s">
        <v>632</v>
      </c>
      <c r="U29" s="5" t="s">
        <v>711</v>
      </c>
      <c r="X29" s="5" t="s">
        <v>219</v>
      </c>
      <c r="Y29" s="5" t="s">
        <v>381</v>
      </c>
      <c r="Z29" s="5" t="s">
        <v>339</v>
      </c>
      <c r="AA29" s="5" t="s">
        <v>92</v>
      </c>
      <c r="AB29" s="5" t="s">
        <v>457</v>
      </c>
      <c r="AC29" s="5" t="s">
        <v>549</v>
      </c>
      <c r="AD29" s="5" t="s">
        <v>618</v>
      </c>
      <c r="AE29" s="5" t="s">
        <v>874</v>
      </c>
      <c r="AF29" s="5" t="s">
        <v>852</v>
      </c>
      <c r="AG29" s="5" t="s">
        <v>877</v>
      </c>
      <c r="AH29" s="5" t="s">
        <v>892</v>
      </c>
      <c r="AI29" s="5" t="s">
        <v>226</v>
      </c>
      <c r="AJ29" s="5" t="s">
        <v>389</v>
      </c>
      <c r="AK29" s="5" t="s">
        <v>526</v>
      </c>
      <c r="AL29" s="5" t="s">
        <v>462</v>
      </c>
      <c r="AM29" s="5" t="s">
        <v>658</v>
      </c>
      <c r="AN29" s="5" t="s">
        <v>785</v>
      </c>
      <c r="AO29" s="5" t="s">
        <v>813</v>
      </c>
      <c r="AP29" s="5" t="s">
        <v>817</v>
      </c>
      <c r="AQ29" s="5" t="s">
        <v>841</v>
      </c>
    </row>
    <row r="30" spans="2:43" x14ac:dyDescent="0.25">
      <c r="B30" s="5" t="s">
        <v>148</v>
      </c>
      <c r="C30" s="5" t="s">
        <v>499</v>
      </c>
      <c r="D30" s="5" t="s">
        <v>315</v>
      </c>
      <c r="E30" s="5" t="s">
        <v>498</v>
      </c>
      <c r="F30" s="5" t="s">
        <v>110</v>
      </c>
      <c r="G30" s="5" t="s">
        <v>157</v>
      </c>
      <c r="H30" s="5" t="s">
        <v>502</v>
      </c>
      <c r="I30" s="5" t="s">
        <v>623</v>
      </c>
      <c r="J30" s="5" t="s">
        <v>506</v>
      </c>
      <c r="K30" s="5" t="s">
        <v>288</v>
      </c>
      <c r="L30" s="5" t="s">
        <v>202</v>
      </c>
      <c r="M30" s="5" t="s">
        <v>447</v>
      </c>
      <c r="N30" s="5" t="s">
        <v>534</v>
      </c>
      <c r="O30" s="5" t="s">
        <v>583</v>
      </c>
      <c r="P30" s="5" t="s">
        <v>677</v>
      </c>
      <c r="Q30" s="5" t="s">
        <v>293</v>
      </c>
      <c r="R30" s="5" t="s">
        <v>292</v>
      </c>
      <c r="S30" s="5" t="s">
        <v>410</v>
      </c>
      <c r="T30" s="5" t="s">
        <v>650</v>
      </c>
      <c r="U30" s="5" t="s">
        <v>697</v>
      </c>
      <c r="X30" s="5" t="s">
        <v>262</v>
      </c>
      <c r="Y30" s="5" t="s">
        <v>299</v>
      </c>
      <c r="Z30" s="5" t="s">
        <v>420</v>
      </c>
      <c r="AA30" s="5" t="s">
        <v>343</v>
      </c>
      <c r="AB30" s="5" t="s">
        <v>266</v>
      </c>
      <c r="AC30" s="5" t="s">
        <v>575</v>
      </c>
      <c r="AD30" s="5" t="s">
        <v>638</v>
      </c>
      <c r="AE30" s="5" t="s">
        <v>878</v>
      </c>
      <c r="AF30" s="5" t="s">
        <v>858</v>
      </c>
      <c r="AG30" s="5" t="s">
        <v>880</v>
      </c>
      <c r="AH30" s="5" t="s">
        <v>927</v>
      </c>
      <c r="AI30" s="5" t="s">
        <v>228</v>
      </c>
      <c r="AJ30" s="5" t="s">
        <v>461</v>
      </c>
      <c r="AK30" s="5" t="s">
        <v>553</v>
      </c>
      <c r="AL30" s="5" t="s">
        <v>579</v>
      </c>
      <c r="AM30" s="5" t="s">
        <v>674</v>
      </c>
      <c r="AN30" s="5" t="s">
        <v>772</v>
      </c>
      <c r="AO30" s="5" t="s">
        <v>809</v>
      </c>
      <c r="AP30" s="5" t="s">
        <v>819</v>
      </c>
      <c r="AQ30" s="5" t="s">
        <v>800</v>
      </c>
    </row>
    <row r="31" spans="2:43" x14ac:dyDescent="0.25">
      <c r="B31" s="5" t="s">
        <v>192</v>
      </c>
      <c r="C31" s="5" t="s">
        <v>528</v>
      </c>
      <c r="D31" s="5" t="s">
        <v>391</v>
      </c>
      <c r="E31" s="5" t="s">
        <v>529</v>
      </c>
      <c r="F31" s="5" t="s">
        <v>67</v>
      </c>
      <c r="G31" s="5" t="s">
        <v>239</v>
      </c>
      <c r="H31" s="5" t="s">
        <v>321</v>
      </c>
      <c r="I31" s="5" t="s">
        <v>359</v>
      </c>
      <c r="J31" s="5" t="s">
        <v>471</v>
      </c>
      <c r="K31" s="5" t="s">
        <v>118</v>
      </c>
      <c r="L31" s="5" t="s">
        <v>369</v>
      </c>
      <c r="M31" s="5" t="s">
        <v>480</v>
      </c>
      <c r="N31" s="5" t="s">
        <v>694</v>
      </c>
      <c r="O31" s="5" t="s">
        <v>604</v>
      </c>
      <c r="P31" s="5" t="s">
        <v>692</v>
      </c>
      <c r="Q31" s="5" t="s">
        <v>211</v>
      </c>
      <c r="R31" s="5" t="s">
        <v>294</v>
      </c>
      <c r="S31" s="5" t="s">
        <v>590</v>
      </c>
      <c r="T31" s="5" t="s">
        <v>566</v>
      </c>
      <c r="U31" s="5" t="s">
        <v>712</v>
      </c>
      <c r="X31" s="5" t="s">
        <v>486</v>
      </c>
      <c r="Y31" s="5" t="s">
        <v>487</v>
      </c>
      <c r="Z31" s="5" t="s">
        <v>518</v>
      </c>
      <c r="AA31" s="5" t="s">
        <v>135</v>
      </c>
      <c r="AB31" s="5" t="s">
        <v>490</v>
      </c>
      <c r="AC31" s="5" t="s">
        <v>572</v>
      </c>
      <c r="AD31" s="5" t="s">
        <v>655</v>
      </c>
      <c r="AE31" s="5" t="s">
        <v>865</v>
      </c>
      <c r="AF31" s="5" t="s">
        <v>909</v>
      </c>
      <c r="AG31" s="5" t="s">
        <v>918</v>
      </c>
      <c r="AH31" s="5" t="s">
        <v>895</v>
      </c>
      <c r="AI31" s="5" t="s">
        <v>268</v>
      </c>
      <c r="AJ31" s="5" t="s">
        <v>494</v>
      </c>
      <c r="AK31" s="5" t="s">
        <v>599</v>
      </c>
      <c r="AL31" s="5" t="s">
        <v>600</v>
      </c>
      <c r="AM31" s="5" t="s">
        <v>689</v>
      </c>
      <c r="AN31" s="5" t="s">
        <v>790</v>
      </c>
      <c r="AO31" s="5" t="s">
        <v>783</v>
      </c>
      <c r="AP31" s="5" t="s">
        <v>828</v>
      </c>
      <c r="AQ31" s="5" t="s">
        <v>829</v>
      </c>
    </row>
    <row r="32" spans="2:43" x14ac:dyDescent="0.25">
      <c r="B32" s="5" t="s">
        <v>145</v>
      </c>
      <c r="C32" s="5" t="s">
        <v>187</v>
      </c>
      <c r="D32" s="5" t="s">
        <v>392</v>
      </c>
      <c r="E32" s="5" t="s">
        <v>556</v>
      </c>
      <c r="F32" s="5" t="s">
        <v>68</v>
      </c>
      <c r="G32" s="5" t="s">
        <v>151</v>
      </c>
      <c r="H32" s="5" t="s">
        <v>285</v>
      </c>
      <c r="I32" s="5" t="s">
        <v>402</v>
      </c>
      <c r="J32" s="5" t="s">
        <v>240</v>
      </c>
      <c r="K32" s="5" t="s">
        <v>115</v>
      </c>
      <c r="L32" s="5" t="s">
        <v>287</v>
      </c>
      <c r="M32" s="5" t="s">
        <v>606</v>
      </c>
      <c r="N32" s="5" t="s">
        <v>366</v>
      </c>
      <c r="O32" s="5" t="s">
        <v>624</v>
      </c>
      <c r="P32" s="5" t="s">
        <v>707</v>
      </c>
      <c r="Q32" s="5" t="s">
        <v>254</v>
      </c>
      <c r="R32" s="5" t="s">
        <v>370</v>
      </c>
      <c r="S32" s="5" t="s">
        <v>409</v>
      </c>
      <c r="T32" s="5" t="s">
        <v>543</v>
      </c>
      <c r="U32" s="5" t="s">
        <v>610</v>
      </c>
      <c r="X32" s="5" t="s">
        <v>338</v>
      </c>
      <c r="Y32" s="5" t="s">
        <v>341</v>
      </c>
      <c r="Z32" s="5" t="s">
        <v>418</v>
      </c>
      <c r="AA32" s="5" t="s">
        <v>264</v>
      </c>
      <c r="AB32" s="5" t="s">
        <v>384</v>
      </c>
      <c r="AC32" s="5" t="s">
        <v>594</v>
      </c>
      <c r="AD32" s="5" t="s">
        <v>671</v>
      </c>
      <c r="AE32" s="5" t="s">
        <v>849</v>
      </c>
      <c r="AF32" s="5" t="s">
        <v>867</v>
      </c>
      <c r="AG32" s="5" t="s">
        <v>919</v>
      </c>
      <c r="AH32" s="5" t="s">
        <v>898</v>
      </c>
      <c r="AI32" s="5" t="s">
        <v>307</v>
      </c>
      <c r="AJ32" s="5" t="s">
        <v>524</v>
      </c>
      <c r="AK32" s="5" t="s">
        <v>576</v>
      </c>
      <c r="AL32" s="5" t="s">
        <v>621</v>
      </c>
      <c r="AM32" s="5" t="s">
        <v>704</v>
      </c>
      <c r="AN32" s="5" t="s">
        <v>795</v>
      </c>
      <c r="AO32" s="5" t="s">
        <v>812</v>
      </c>
      <c r="AP32" s="5" t="s">
        <v>821</v>
      </c>
      <c r="AQ32" s="5" t="s">
        <v>814</v>
      </c>
    </row>
    <row r="33" spans="1:43" x14ac:dyDescent="0.25">
      <c r="C33" s="5" t="s">
        <v>313</v>
      </c>
      <c r="F33" s="5" t="s">
        <v>109</v>
      </c>
      <c r="G33" s="5" t="s">
        <v>435</v>
      </c>
      <c r="H33" s="5" t="s">
        <v>469</v>
      </c>
      <c r="I33" s="5" t="s">
        <v>438</v>
      </c>
      <c r="J33" s="5" t="s">
        <v>602</v>
      </c>
      <c r="M33" s="5" t="s">
        <v>607</v>
      </c>
      <c r="N33" s="5" t="s">
        <v>405</v>
      </c>
      <c r="O33" s="5" t="s">
        <v>643</v>
      </c>
      <c r="P33" s="5" t="s">
        <v>664</v>
      </c>
      <c r="Q33" s="5" t="s">
        <v>122</v>
      </c>
      <c r="R33" s="5" t="s">
        <v>168</v>
      </c>
      <c r="S33" s="5" t="s">
        <v>448</v>
      </c>
      <c r="T33" s="5" t="s">
        <v>666</v>
      </c>
      <c r="U33" s="5" t="s">
        <v>713</v>
      </c>
      <c r="Y33" s="5" t="s">
        <v>257</v>
      </c>
      <c r="Z33" s="5" t="s">
        <v>545</v>
      </c>
      <c r="AA33" s="5" t="s">
        <v>222</v>
      </c>
      <c r="AB33" s="5" t="s">
        <v>423</v>
      </c>
      <c r="AC33" s="5" t="s">
        <v>615</v>
      </c>
      <c r="AD33" s="5" t="s">
        <v>686</v>
      </c>
      <c r="AG33" s="5" t="s">
        <v>864</v>
      </c>
      <c r="AH33" s="5" t="s">
        <v>901</v>
      </c>
      <c r="AL33" s="5" t="s">
        <v>641</v>
      </c>
      <c r="AM33" s="5" t="s">
        <v>578</v>
      </c>
      <c r="AP33" s="5" t="s">
        <v>830</v>
      </c>
      <c r="AQ33" s="5" t="s">
        <v>831</v>
      </c>
    </row>
    <row r="34" spans="1:43" x14ac:dyDescent="0.25">
      <c r="C34" s="5" t="s">
        <v>146</v>
      </c>
      <c r="F34" s="5" t="s">
        <v>108</v>
      </c>
      <c r="G34" s="5" t="s">
        <v>358</v>
      </c>
      <c r="H34" s="5" t="s">
        <v>501</v>
      </c>
      <c r="I34" s="5" t="s">
        <v>441</v>
      </c>
      <c r="J34" s="5" t="s">
        <v>503</v>
      </c>
      <c r="M34" s="5" t="s">
        <v>326</v>
      </c>
      <c r="N34" s="5" t="s">
        <v>444</v>
      </c>
      <c r="O34" s="5" t="s">
        <v>628</v>
      </c>
      <c r="P34" s="5" t="s">
        <v>680</v>
      </c>
      <c r="Q34" s="5" t="s">
        <v>163</v>
      </c>
      <c r="R34" s="5" t="s">
        <v>450</v>
      </c>
      <c r="S34" s="5" t="s">
        <v>481</v>
      </c>
      <c r="T34" s="5" t="s">
        <v>682</v>
      </c>
      <c r="U34" s="5" t="s">
        <v>630</v>
      </c>
      <c r="Y34" s="5" t="s">
        <v>297</v>
      </c>
      <c r="Z34" s="5" t="s">
        <v>455</v>
      </c>
      <c r="AA34" s="5" t="s">
        <v>382</v>
      </c>
      <c r="AB34" s="5" t="s">
        <v>306</v>
      </c>
      <c r="AC34" s="5" t="s">
        <v>573</v>
      </c>
      <c r="AD34" s="5" t="s">
        <v>701</v>
      </c>
      <c r="AG34" s="5" t="s">
        <v>883</v>
      </c>
      <c r="AH34" s="5" t="s">
        <v>862</v>
      </c>
      <c r="AL34" s="5" t="s">
        <v>495</v>
      </c>
      <c r="AM34" s="5" t="s">
        <v>718</v>
      </c>
      <c r="AP34" s="5" t="s">
        <v>823</v>
      </c>
      <c r="AQ34" s="5" t="s">
        <v>833</v>
      </c>
    </row>
    <row r="35" spans="1:43" x14ac:dyDescent="0.25">
      <c r="G35" s="5" t="s">
        <v>281</v>
      </c>
      <c r="H35" s="5" t="s">
        <v>530</v>
      </c>
      <c r="I35" s="5" t="s">
        <v>642</v>
      </c>
      <c r="J35" s="5" t="s">
        <v>440</v>
      </c>
      <c r="N35" s="5" t="s">
        <v>477</v>
      </c>
      <c r="O35" s="5" t="s">
        <v>647</v>
      </c>
      <c r="P35" s="5" t="s">
        <v>695</v>
      </c>
      <c r="R35" s="5" t="s">
        <v>483</v>
      </c>
      <c r="S35" s="5" t="s">
        <v>611</v>
      </c>
      <c r="T35" s="5" t="s">
        <v>569</v>
      </c>
      <c r="Y35" s="5" t="s">
        <v>337</v>
      </c>
      <c r="Z35" s="5" t="s">
        <v>378</v>
      </c>
      <c r="AC35" s="5" t="s">
        <v>595</v>
      </c>
      <c r="AH35" s="5" t="s">
        <v>868</v>
      </c>
      <c r="AL35" s="5" t="s">
        <v>672</v>
      </c>
      <c r="AM35" s="5" t="s">
        <v>728</v>
      </c>
      <c r="AQ35" s="5" t="s">
        <v>842</v>
      </c>
    </row>
    <row r="36" spans="1:43" x14ac:dyDescent="0.25">
      <c r="G36" s="5" t="s">
        <v>397</v>
      </c>
      <c r="H36" s="5" t="s">
        <v>320</v>
      </c>
      <c r="I36" s="5" t="s">
        <v>398</v>
      </c>
      <c r="J36" s="5" t="s">
        <v>719</v>
      </c>
      <c r="N36" s="5" t="s">
        <v>508</v>
      </c>
      <c r="O36" s="5" t="s">
        <v>625</v>
      </c>
      <c r="P36" s="5" t="s">
        <v>710</v>
      </c>
      <c r="R36" s="5" t="s">
        <v>334</v>
      </c>
      <c r="S36" s="5" t="s">
        <v>512</v>
      </c>
      <c r="T36" s="5" t="s">
        <v>592</v>
      </c>
      <c r="Y36" s="5" t="s">
        <v>376</v>
      </c>
      <c r="Z36" s="5" t="s">
        <v>417</v>
      </c>
      <c r="AC36" s="5" t="s">
        <v>635</v>
      </c>
      <c r="AH36" s="5" t="s">
        <v>907</v>
      </c>
      <c r="AL36" s="5" t="s">
        <v>429</v>
      </c>
      <c r="AM36" s="5" t="s">
        <v>734</v>
      </c>
      <c r="AQ36" s="5" t="s">
        <v>835</v>
      </c>
    </row>
    <row r="37" spans="1:43" x14ac:dyDescent="0.25">
      <c r="G37" s="5" t="s">
        <v>200</v>
      </c>
      <c r="H37" s="5" t="s">
        <v>325</v>
      </c>
      <c r="I37" s="5" t="s">
        <v>473</v>
      </c>
      <c r="J37" s="5" t="s">
        <v>475</v>
      </c>
      <c r="N37" s="5" t="s">
        <v>511</v>
      </c>
      <c r="O37" s="5" t="s">
        <v>644</v>
      </c>
      <c r="P37" s="5" t="s">
        <v>723</v>
      </c>
      <c r="Y37" s="5" t="s">
        <v>300</v>
      </c>
      <c r="Z37" s="5" t="s">
        <v>488</v>
      </c>
      <c r="AC37" s="5" t="s">
        <v>653</v>
      </c>
      <c r="AH37" s="5" t="s">
        <v>873</v>
      </c>
      <c r="AM37" s="5" t="s">
        <v>738</v>
      </c>
      <c r="AQ37" s="5" t="s">
        <v>804</v>
      </c>
    </row>
    <row r="38" spans="1:43" x14ac:dyDescent="0.25">
      <c r="G38" s="5" t="s">
        <v>155</v>
      </c>
      <c r="H38" s="5" t="s">
        <v>283</v>
      </c>
      <c r="I38" s="5" t="s">
        <v>659</v>
      </c>
      <c r="J38" s="5" t="s">
        <v>532</v>
      </c>
      <c r="N38" s="5" t="s">
        <v>538</v>
      </c>
      <c r="O38" s="5" t="s">
        <v>736</v>
      </c>
      <c r="P38" s="5" t="s">
        <v>731</v>
      </c>
      <c r="Y38" s="5" t="s">
        <v>415</v>
      </c>
      <c r="Z38" s="5" t="s">
        <v>571</v>
      </c>
      <c r="AC38" s="5" t="s">
        <v>616</v>
      </c>
      <c r="AH38" s="5" t="s">
        <v>904</v>
      </c>
      <c r="AM38" s="5" t="s">
        <v>739</v>
      </c>
      <c r="AQ38" s="5" t="s">
        <v>837</v>
      </c>
    </row>
    <row r="39" spans="1:43" x14ac:dyDescent="0.25">
      <c r="A39" t="s">
        <v>975</v>
      </c>
    </row>
  </sheetData>
  <mergeCells count="9">
    <mergeCell ref="AE1:AH1"/>
    <mergeCell ref="AI1:AM1"/>
    <mergeCell ref="AN1:AQ1"/>
    <mergeCell ref="B1:E1"/>
    <mergeCell ref="F1:J1"/>
    <mergeCell ref="K1:P1"/>
    <mergeCell ref="Q1:U1"/>
    <mergeCell ref="V1:Z1"/>
    <mergeCell ref="AA1:A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5D78-BA04-4578-A3C5-2B4A12F5F0C1}">
  <dimension ref="A1:AU10"/>
  <sheetViews>
    <sheetView topLeftCell="AC1" workbookViewId="0">
      <selection activeCell="AN1" sqref="AN1"/>
    </sheetView>
  </sheetViews>
  <sheetFormatPr defaultColWidth="17.7109375" defaultRowHeight="15" x14ac:dyDescent="0.25"/>
  <cols>
    <col min="2" max="47" width="17.7109375" style="34"/>
  </cols>
  <sheetData>
    <row r="1" spans="1:39" x14ac:dyDescent="0.25">
      <c r="A1" s="1" t="s">
        <v>0</v>
      </c>
      <c r="B1" s="34" t="s">
        <v>980</v>
      </c>
      <c r="C1" s="34" t="s">
        <v>979</v>
      </c>
      <c r="D1" s="34" t="s">
        <v>988</v>
      </c>
      <c r="E1" s="34" t="s">
        <v>993</v>
      </c>
      <c r="F1" s="34" t="s">
        <v>987</v>
      </c>
      <c r="G1" s="34" t="s">
        <v>981</v>
      </c>
      <c r="H1" s="34" t="s">
        <v>985</v>
      </c>
      <c r="I1" s="34" t="s">
        <v>1008</v>
      </c>
      <c r="J1" s="34" t="s">
        <v>986</v>
      </c>
      <c r="K1" s="34" t="s">
        <v>1015</v>
      </c>
      <c r="L1" s="34" t="s">
        <v>1009</v>
      </c>
      <c r="M1" s="34" t="s">
        <v>983</v>
      </c>
      <c r="N1" s="34" t="s">
        <v>984</v>
      </c>
      <c r="O1" s="34" t="s">
        <v>1003</v>
      </c>
      <c r="P1" s="34" t="s">
        <v>1007</v>
      </c>
      <c r="Q1" s="34" t="s">
        <v>992</v>
      </c>
      <c r="R1" s="34" t="s">
        <v>982</v>
      </c>
      <c r="S1" s="34" t="s">
        <v>1006</v>
      </c>
      <c r="T1" s="34" t="s">
        <v>1002</v>
      </c>
      <c r="U1" s="34" t="s">
        <v>991</v>
      </c>
      <c r="V1" s="34" t="s">
        <v>998</v>
      </c>
      <c r="W1" s="34" t="s">
        <v>1012</v>
      </c>
      <c r="X1" s="34" t="s">
        <v>1014</v>
      </c>
      <c r="Y1" s="34" t="s">
        <v>997</v>
      </c>
      <c r="Z1" s="34" t="s">
        <v>990</v>
      </c>
      <c r="AA1" s="34" t="s">
        <v>1005</v>
      </c>
      <c r="AB1" s="34" t="s">
        <v>1011</v>
      </c>
      <c r="AC1" s="34" t="s">
        <v>995</v>
      </c>
      <c r="AD1" s="34" t="s">
        <v>1004</v>
      </c>
      <c r="AE1" s="34" t="s">
        <v>994</v>
      </c>
      <c r="AF1" s="34" t="s">
        <v>1001</v>
      </c>
      <c r="AG1" s="34" t="s">
        <v>999</v>
      </c>
      <c r="AH1" s="34" t="s">
        <v>1000</v>
      </c>
      <c r="AI1" s="34" t="s">
        <v>989</v>
      </c>
      <c r="AJ1" s="34" t="s">
        <v>1013</v>
      </c>
      <c r="AK1" s="34" t="s">
        <v>1010</v>
      </c>
      <c r="AL1" s="34" t="s">
        <v>996</v>
      </c>
      <c r="AM1" s="34" t="s">
        <v>1019</v>
      </c>
    </row>
    <row r="2" spans="1:39" x14ac:dyDescent="0.25">
      <c r="A2" s="33" t="s">
        <v>976</v>
      </c>
    </row>
    <row r="3" spans="1:39" x14ac:dyDescent="0.25">
      <c r="A3" s="33" t="s">
        <v>1017</v>
      </c>
      <c r="B3" s="34">
        <v>928</v>
      </c>
      <c r="C3" s="34">
        <v>808</v>
      </c>
      <c r="D3" s="34">
        <v>590</v>
      </c>
      <c r="E3" s="34">
        <v>474</v>
      </c>
      <c r="F3" s="34">
        <v>478</v>
      </c>
      <c r="G3" s="34">
        <v>448</v>
      </c>
      <c r="H3" s="34">
        <v>386</v>
      </c>
      <c r="I3" s="34">
        <v>409</v>
      </c>
      <c r="J3" s="34">
        <v>387</v>
      </c>
      <c r="K3" s="34">
        <v>369</v>
      </c>
      <c r="L3" s="34">
        <v>365</v>
      </c>
      <c r="M3" s="34">
        <v>302</v>
      </c>
      <c r="N3" s="34">
        <v>271</v>
      </c>
      <c r="O3" s="34">
        <v>276</v>
      </c>
      <c r="P3" s="34">
        <v>247</v>
      </c>
      <c r="Q3" s="34">
        <v>234</v>
      </c>
      <c r="R3" s="34">
        <v>192</v>
      </c>
      <c r="S3" s="34">
        <v>209</v>
      </c>
      <c r="T3" s="34">
        <v>210</v>
      </c>
      <c r="U3" s="34">
        <v>172</v>
      </c>
      <c r="V3" s="34">
        <v>181</v>
      </c>
      <c r="W3" s="34">
        <v>144</v>
      </c>
      <c r="X3" s="34">
        <v>139</v>
      </c>
      <c r="Y3" s="34">
        <v>148</v>
      </c>
      <c r="Z3" s="34">
        <v>116</v>
      </c>
      <c r="AA3" s="34">
        <v>146</v>
      </c>
      <c r="AB3" s="34">
        <v>111</v>
      </c>
      <c r="AC3" s="34">
        <v>77</v>
      </c>
      <c r="AD3" s="34">
        <v>89</v>
      </c>
      <c r="AE3" s="34">
        <v>47</v>
      </c>
      <c r="AF3" s="34">
        <v>14</v>
      </c>
      <c r="AG3" s="34">
        <v>89</v>
      </c>
      <c r="AH3" s="34">
        <v>4</v>
      </c>
      <c r="AI3" s="34">
        <v>32</v>
      </c>
      <c r="AJ3" s="34">
        <v>20</v>
      </c>
      <c r="AK3" s="34">
        <v>46</v>
      </c>
      <c r="AL3" s="34">
        <v>44</v>
      </c>
      <c r="AM3" s="34">
        <v>522</v>
      </c>
    </row>
    <row r="4" spans="1:39" x14ac:dyDescent="0.25">
      <c r="A4" s="33" t="s">
        <v>1018</v>
      </c>
      <c r="B4" s="30">
        <f t="shared" ref="B4:AM4" si="0">(B3-4)/(928-4)</f>
        <v>1</v>
      </c>
      <c r="C4" s="30">
        <f t="shared" si="0"/>
        <v>0.87012987012987009</v>
      </c>
      <c r="D4" s="30">
        <f t="shared" si="0"/>
        <v>0.63419913419913421</v>
      </c>
      <c r="E4" s="30">
        <f t="shared" si="0"/>
        <v>0.5086580086580087</v>
      </c>
      <c r="F4" s="30">
        <f t="shared" si="0"/>
        <v>0.51298701298701299</v>
      </c>
      <c r="G4" s="30">
        <f t="shared" si="0"/>
        <v>0.48051948051948051</v>
      </c>
      <c r="H4" s="30">
        <f t="shared" si="0"/>
        <v>0.41341991341991341</v>
      </c>
      <c r="I4" s="30">
        <f t="shared" si="0"/>
        <v>0.43831168831168832</v>
      </c>
      <c r="J4" s="30">
        <f t="shared" si="0"/>
        <v>0.41450216450216448</v>
      </c>
      <c r="K4" s="30">
        <f t="shared" si="0"/>
        <v>0.395021645021645</v>
      </c>
      <c r="L4" s="30">
        <f t="shared" si="0"/>
        <v>0.3906926406926407</v>
      </c>
      <c r="M4" s="30">
        <f t="shared" si="0"/>
        <v>0.32251082251082253</v>
      </c>
      <c r="N4" s="30">
        <f t="shared" si="0"/>
        <v>0.28896103896103897</v>
      </c>
      <c r="O4" s="30">
        <f t="shared" si="0"/>
        <v>0.2943722943722944</v>
      </c>
      <c r="P4" s="30">
        <f t="shared" si="0"/>
        <v>0.26298701298701299</v>
      </c>
      <c r="Q4" s="30">
        <f t="shared" si="0"/>
        <v>0.24891774891774893</v>
      </c>
      <c r="R4" s="30">
        <f t="shared" si="0"/>
        <v>0.20346320346320346</v>
      </c>
      <c r="S4" s="30">
        <f t="shared" si="0"/>
        <v>0.22186147186147187</v>
      </c>
      <c r="T4" s="30">
        <f t="shared" si="0"/>
        <v>0.22294372294372294</v>
      </c>
      <c r="U4" s="30">
        <f t="shared" si="0"/>
        <v>0.18181818181818182</v>
      </c>
      <c r="V4" s="30">
        <f t="shared" si="0"/>
        <v>0.19155844155844157</v>
      </c>
      <c r="W4" s="30">
        <f t="shared" si="0"/>
        <v>0.15151515151515152</v>
      </c>
      <c r="X4" s="30">
        <f t="shared" si="0"/>
        <v>0.1461038961038961</v>
      </c>
      <c r="Y4" s="30">
        <f t="shared" si="0"/>
        <v>0.15584415584415584</v>
      </c>
      <c r="Z4" s="30">
        <f t="shared" si="0"/>
        <v>0.12121212121212122</v>
      </c>
      <c r="AA4" s="30">
        <f t="shared" si="0"/>
        <v>0.15367965367965367</v>
      </c>
      <c r="AB4" s="30">
        <f t="shared" si="0"/>
        <v>0.11580086580086581</v>
      </c>
      <c r="AC4" s="30">
        <f t="shared" si="0"/>
        <v>7.9004329004329008E-2</v>
      </c>
      <c r="AD4" s="30">
        <f t="shared" si="0"/>
        <v>9.1991341991341985E-2</v>
      </c>
      <c r="AE4" s="30">
        <f t="shared" si="0"/>
        <v>4.6536796536796536E-2</v>
      </c>
      <c r="AF4" s="30">
        <f t="shared" si="0"/>
        <v>1.0822510822510822E-2</v>
      </c>
      <c r="AG4" s="30">
        <f t="shared" si="0"/>
        <v>9.1991341991341985E-2</v>
      </c>
      <c r="AH4" s="30">
        <f t="shared" si="0"/>
        <v>0</v>
      </c>
      <c r="AI4" s="30">
        <f t="shared" si="0"/>
        <v>3.0303030303030304E-2</v>
      </c>
      <c r="AJ4" s="30">
        <f t="shared" si="0"/>
        <v>1.7316017316017316E-2</v>
      </c>
      <c r="AK4" s="30">
        <f t="shared" si="0"/>
        <v>4.5454545454545456E-2</v>
      </c>
      <c r="AL4" s="30">
        <f t="shared" si="0"/>
        <v>4.3290043290043288E-2</v>
      </c>
      <c r="AM4" s="30">
        <f t="shared" si="0"/>
        <v>0.56060606060606055</v>
      </c>
    </row>
    <row r="5" spans="1:39" x14ac:dyDescent="0.25">
      <c r="A5" t="s">
        <v>977</v>
      </c>
      <c r="B5" s="35">
        <v>212000000</v>
      </c>
      <c r="C5" s="35">
        <v>45700000</v>
      </c>
      <c r="D5" s="35">
        <v>5600000</v>
      </c>
      <c r="E5" s="35">
        <v>85500000</v>
      </c>
      <c r="F5" s="35">
        <v>18500000</v>
      </c>
      <c r="G5" s="35">
        <v>38100000</v>
      </c>
      <c r="H5" s="35">
        <v>340100000</v>
      </c>
      <c r="I5" s="35">
        <v>10600000</v>
      </c>
      <c r="J5" s="35">
        <v>3860000</v>
      </c>
      <c r="K5" s="35">
        <v>18100000</v>
      </c>
      <c r="L5" s="35">
        <v>6000000</v>
      </c>
      <c r="M5" s="35">
        <v>52900000</v>
      </c>
      <c r="N5" s="35">
        <v>123700000</v>
      </c>
      <c r="O5" s="35">
        <v>10400000</v>
      </c>
      <c r="P5" s="35">
        <v>37900000</v>
      </c>
      <c r="Q5" s="35">
        <v>34400000</v>
      </c>
      <c r="R5" s="35">
        <v>130300000</v>
      </c>
      <c r="S5" s="35">
        <v>9600000</v>
      </c>
      <c r="T5" s="35">
        <v>6600000</v>
      </c>
      <c r="U5" s="35">
        <v>232700000</v>
      </c>
      <c r="V5" s="35">
        <v>3100000</v>
      </c>
      <c r="W5" s="35">
        <v>105600000</v>
      </c>
      <c r="X5" s="35">
        <v>51700000</v>
      </c>
      <c r="Y5" s="35">
        <v>5300000</v>
      </c>
      <c r="Z5" s="35">
        <v>114500000</v>
      </c>
      <c r="AA5" s="35">
        <v>3200000</v>
      </c>
      <c r="AB5" s="35">
        <v>23500000</v>
      </c>
      <c r="AC5" s="35">
        <v>26700000</v>
      </c>
      <c r="AD5" s="35">
        <v>2700000</v>
      </c>
      <c r="AE5" s="35">
        <v>63000000</v>
      </c>
      <c r="AF5" s="35">
        <v>140830000</v>
      </c>
      <c r="AG5" s="35">
        <v>390000</v>
      </c>
      <c r="AH5" s="35">
        <v>145090000</v>
      </c>
      <c r="AI5" s="35">
        <v>90600000</v>
      </c>
      <c r="AJ5" s="35">
        <v>83500000</v>
      </c>
      <c r="AK5" s="35">
        <v>5600000</v>
      </c>
      <c r="AL5" s="35">
        <v>5300000</v>
      </c>
      <c r="AM5" s="35">
        <v>31500000</v>
      </c>
    </row>
    <row r="6" spans="1:39" x14ac:dyDescent="0.25">
      <c r="A6" t="s">
        <v>978</v>
      </c>
      <c r="B6" s="36">
        <f t="shared" ref="B6:AM6" si="1">LOG(B5)</f>
        <v>8.3263358609287508</v>
      </c>
      <c r="C6" s="36">
        <f t="shared" si="1"/>
        <v>7.6599162000698504</v>
      </c>
      <c r="D6" s="36">
        <f t="shared" si="1"/>
        <v>6.7481880270062007</v>
      </c>
      <c r="E6" s="36">
        <f t="shared" si="1"/>
        <v>7.9319661147281728</v>
      </c>
      <c r="F6" s="36">
        <f t="shared" si="1"/>
        <v>7.2671717284030137</v>
      </c>
      <c r="G6" s="36">
        <f t="shared" si="1"/>
        <v>7.580924975675619</v>
      </c>
      <c r="H6" s="36">
        <f t="shared" si="1"/>
        <v>8.5316066319327213</v>
      </c>
      <c r="I6" s="36">
        <f t="shared" si="1"/>
        <v>7.0253058652647704</v>
      </c>
      <c r="J6" s="36">
        <f t="shared" si="1"/>
        <v>6.5865873046717551</v>
      </c>
      <c r="K6" s="36">
        <f t="shared" si="1"/>
        <v>7.2576785748691846</v>
      </c>
      <c r="L6" s="36">
        <f t="shared" si="1"/>
        <v>6.7781512503836439</v>
      </c>
      <c r="M6" s="36">
        <f t="shared" si="1"/>
        <v>7.7234556720351861</v>
      </c>
      <c r="N6" s="36">
        <f t="shared" si="1"/>
        <v>8.0923696996291206</v>
      </c>
      <c r="O6" s="36">
        <f t="shared" si="1"/>
        <v>7.0170333392987807</v>
      </c>
      <c r="P6" s="36">
        <f t="shared" si="1"/>
        <v>7.5786392099680722</v>
      </c>
      <c r="Q6" s="36">
        <f t="shared" si="1"/>
        <v>7.53655844257153</v>
      </c>
      <c r="R6" s="36">
        <f t="shared" si="1"/>
        <v>8.1149444157125838</v>
      </c>
      <c r="S6" s="36">
        <f t="shared" si="1"/>
        <v>6.982271233039568</v>
      </c>
      <c r="T6" s="36">
        <f t="shared" si="1"/>
        <v>6.8195439355418683</v>
      </c>
      <c r="U6" s="36">
        <f t="shared" si="1"/>
        <v>8.3667963832867294</v>
      </c>
      <c r="V6" s="36">
        <f t="shared" si="1"/>
        <v>6.4913616938342731</v>
      </c>
      <c r="W6" s="36">
        <f t="shared" si="1"/>
        <v>8.0236639181977942</v>
      </c>
      <c r="X6" s="36">
        <f t="shared" si="1"/>
        <v>7.7134905430939424</v>
      </c>
      <c r="Y6" s="36">
        <f t="shared" si="1"/>
        <v>6.7242758696007892</v>
      </c>
      <c r="Z6" s="36">
        <f t="shared" si="1"/>
        <v>8.0588054866759062</v>
      </c>
      <c r="AA6" s="36">
        <f t="shared" si="1"/>
        <v>6.5051499783199063</v>
      </c>
      <c r="AB6" s="36">
        <f t="shared" si="1"/>
        <v>7.3710678622717358</v>
      </c>
      <c r="AC6" s="36">
        <f t="shared" si="1"/>
        <v>7.426511261364575</v>
      </c>
      <c r="AD6" s="36">
        <f t="shared" si="1"/>
        <v>6.4313637641589869</v>
      </c>
      <c r="AE6" s="36">
        <f t="shared" si="1"/>
        <v>7.7993405494535821</v>
      </c>
      <c r="AF6" s="36">
        <f t="shared" si="1"/>
        <v>8.148695179285065</v>
      </c>
      <c r="AG6" s="36">
        <f t="shared" si="1"/>
        <v>5.5910646070264995</v>
      </c>
      <c r="AH6" s="36">
        <f t="shared" si="1"/>
        <v>8.1616374807045897</v>
      </c>
      <c r="AI6" s="36">
        <f t="shared" si="1"/>
        <v>7.9571281976768127</v>
      </c>
      <c r="AJ6" s="36">
        <f t="shared" si="1"/>
        <v>7.9216864754836021</v>
      </c>
      <c r="AK6" s="36">
        <f t="shared" si="1"/>
        <v>6.7481880270062007</v>
      </c>
      <c r="AL6" s="36">
        <f t="shared" si="1"/>
        <v>6.7242758696007892</v>
      </c>
      <c r="AM6" s="36">
        <f t="shared" si="1"/>
        <v>7.4983105537896009</v>
      </c>
    </row>
    <row r="7" spans="1:39" x14ac:dyDescent="0.25">
      <c r="A7" t="s">
        <v>1016</v>
      </c>
      <c r="B7" s="30">
        <f t="shared" ref="B7:AM7" si="2">(B6-5.59)/(9.16-5.59)</f>
        <v>0.76648063331337557</v>
      </c>
      <c r="C7" s="30">
        <f t="shared" si="2"/>
        <v>0.57980845940331949</v>
      </c>
      <c r="D7" s="30">
        <f t="shared" si="2"/>
        <v>0.32442241652834752</v>
      </c>
      <c r="E7" s="30">
        <f t="shared" si="2"/>
        <v>0.65601291729080469</v>
      </c>
      <c r="F7" s="30">
        <f t="shared" si="2"/>
        <v>0.46979600235378538</v>
      </c>
      <c r="G7" s="30">
        <f t="shared" si="2"/>
        <v>0.55768206601557957</v>
      </c>
      <c r="H7" s="30">
        <f t="shared" si="2"/>
        <v>0.82397944872065021</v>
      </c>
      <c r="I7" s="30">
        <f t="shared" si="2"/>
        <v>0.40204646085847912</v>
      </c>
      <c r="J7" s="30">
        <f t="shared" si="2"/>
        <v>0.27915610775119193</v>
      </c>
      <c r="K7" s="30">
        <f t="shared" si="2"/>
        <v>0.46713685570565394</v>
      </c>
      <c r="L7" s="30">
        <f t="shared" si="2"/>
        <v>0.33281547629793945</v>
      </c>
      <c r="M7" s="30">
        <f t="shared" si="2"/>
        <v>0.59760663082218102</v>
      </c>
      <c r="N7" s="30">
        <f t="shared" si="2"/>
        <v>0.70094389345353514</v>
      </c>
      <c r="O7" s="30">
        <f t="shared" si="2"/>
        <v>0.39972922669433636</v>
      </c>
      <c r="P7" s="30">
        <f t="shared" si="2"/>
        <v>0.55704179550926392</v>
      </c>
      <c r="Q7" s="30">
        <f t="shared" si="2"/>
        <v>0.54525446570631086</v>
      </c>
      <c r="R7" s="30">
        <f t="shared" si="2"/>
        <v>0.70726734333685826</v>
      </c>
      <c r="S7" s="30">
        <f t="shared" si="2"/>
        <v>0.38999194202789023</v>
      </c>
      <c r="T7" s="30">
        <f t="shared" si="2"/>
        <v>0.34441006597811441</v>
      </c>
      <c r="U7" s="30">
        <f t="shared" si="2"/>
        <v>0.77781411296547043</v>
      </c>
      <c r="V7" s="30">
        <f t="shared" si="2"/>
        <v>0.25248226718046868</v>
      </c>
      <c r="W7" s="30">
        <f t="shared" si="2"/>
        <v>0.68169857652599275</v>
      </c>
      <c r="X7" s="30">
        <f t="shared" si="2"/>
        <v>0.59481527817757496</v>
      </c>
      <c r="Y7" s="30">
        <f t="shared" si="2"/>
        <v>0.31772433322150956</v>
      </c>
      <c r="Z7" s="30">
        <f t="shared" si="2"/>
        <v>0.69154215313050593</v>
      </c>
      <c r="AA7" s="30">
        <f t="shared" si="2"/>
        <v>0.25634453174227068</v>
      </c>
      <c r="AB7" s="30">
        <f t="shared" si="2"/>
        <v>0.49889856086043022</v>
      </c>
      <c r="AC7" s="30">
        <f t="shared" si="2"/>
        <v>0.51442892475198176</v>
      </c>
      <c r="AD7" s="30">
        <f t="shared" si="2"/>
        <v>0.23567612441428207</v>
      </c>
      <c r="AE7" s="30">
        <f t="shared" si="2"/>
        <v>0.61886289900660563</v>
      </c>
      <c r="AF7" s="30">
        <f t="shared" si="2"/>
        <v>0.7167213387353123</v>
      </c>
      <c r="AG7" s="30">
        <f t="shared" si="2"/>
        <v>2.9820925112036036E-4</v>
      </c>
      <c r="AH7" s="30">
        <f t="shared" si="2"/>
        <v>0.72034663325058534</v>
      </c>
      <c r="AI7" s="30">
        <f t="shared" si="2"/>
        <v>0.66306111979742655</v>
      </c>
      <c r="AJ7" s="30">
        <f t="shared" si="2"/>
        <v>0.65313346652201731</v>
      </c>
      <c r="AK7" s="30">
        <f t="shared" si="2"/>
        <v>0.32442241652834752</v>
      </c>
      <c r="AL7" s="30">
        <f t="shared" si="2"/>
        <v>0.31772433322150956</v>
      </c>
      <c r="AM7" s="30">
        <f t="shared" si="2"/>
        <v>0.53454077136963607</v>
      </c>
    </row>
    <row r="9" spans="1:39" x14ac:dyDescent="0.25">
      <c r="B9" s="34">
        <f t="shared" ref="B9:AM9" si="3">1.1*B4+0.1*B7</f>
        <v>1.1766480633313376</v>
      </c>
      <c r="C9" s="34">
        <f t="shared" si="3"/>
        <v>1.0151237030831892</v>
      </c>
      <c r="D9" s="34">
        <f t="shared" si="3"/>
        <v>0.73006128927188241</v>
      </c>
      <c r="E9" s="34">
        <f t="shared" si="3"/>
        <v>0.62512510125289011</v>
      </c>
      <c r="F9" s="34">
        <f t="shared" si="3"/>
        <v>0.6112653145210929</v>
      </c>
      <c r="G9" s="34">
        <f t="shared" si="3"/>
        <v>0.58433963517298659</v>
      </c>
      <c r="H9" s="34">
        <f t="shared" si="3"/>
        <v>0.53715984963396979</v>
      </c>
      <c r="I9" s="34">
        <f t="shared" si="3"/>
        <v>0.52234750322870516</v>
      </c>
      <c r="J9" s="34">
        <f t="shared" si="3"/>
        <v>0.48386799172750011</v>
      </c>
      <c r="K9" s="34">
        <f t="shared" si="3"/>
        <v>0.48123749509437491</v>
      </c>
      <c r="L9" s="34">
        <f t="shared" si="3"/>
        <v>0.46304345239169875</v>
      </c>
      <c r="M9" s="34">
        <f t="shared" si="3"/>
        <v>0.41452256784412295</v>
      </c>
      <c r="N9" s="34">
        <f t="shared" si="3"/>
        <v>0.3879515322024964</v>
      </c>
      <c r="O9" s="34">
        <f t="shared" si="3"/>
        <v>0.36378244647895752</v>
      </c>
      <c r="P9" s="34">
        <f t="shared" si="3"/>
        <v>0.34498989383664069</v>
      </c>
      <c r="Q9" s="34">
        <f t="shared" si="3"/>
        <v>0.32833497038015491</v>
      </c>
      <c r="R9" s="34">
        <f t="shared" si="3"/>
        <v>0.29453625814320966</v>
      </c>
      <c r="S9" s="34">
        <f t="shared" si="3"/>
        <v>0.28304681325040809</v>
      </c>
      <c r="T9" s="34">
        <f t="shared" si="3"/>
        <v>0.27967910183590672</v>
      </c>
      <c r="U9" s="34">
        <f t="shared" si="3"/>
        <v>0.27778141129654704</v>
      </c>
      <c r="V9" s="34">
        <f t="shared" si="3"/>
        <v>0.23596251243233263</v>
      </c>
      <c r="W9" s="34">
        <f t="shared" si="3"/>
        <v>0.23483652431926597</v>
      </c>
      <c r="X9" s="34">
        <f t="shared" si="3"/>
        <v>0.22019581353204323</v>
      </c>
      <c r="Y9" s="34">
        <f t="shared" si="3"/>
        <v>0.20320100475072239</v>
      </c>
      <c r="Z9" s="34">
        <f t="shared" si="3"/>
        <v>0.20248754864638396</v>
      </c>
      <c r="AA9" s="34">
        <f t="shared" si="3"/>
        <v>0.19468207222184614</v>
      </c>
      <c r="AB9" s="34">
        <f t="shared" si="3"/>
        <v>0.17727080846699542</v>
      </c>
      <c r="AC9" s="34">
        <f t="shared" si="3"/>
        <v>0.13834765437996011</v>
      </c>
      <c r="AD9" s="34">
        <f t="shared" si="3"/>
        <v>0.12475808863190441</v>
      </c>
      <c r="AE9" s="34">
        <f t="shared" si="3"/>
        <v>0.11307676609113676</v>
      </c>
      <c r="AF9" s="34">
        <f t="shared" si="3"/>
        <v>8.3576895778293137E-2</v>
      </c>
      <c r="AG9" s="34">
        <f t="shared" si="3"/>
        <v>0.10122029711558823</v>
      </c>
      <c r="AH9" s="34">
        <f t="shared" si="3"/>
        <v>7.2034663325058534E-2</v>
      </c>
      <c r="AI9" s="34">
        <f t="shared" si="3"/>
        <v>9.9639445313076003E-2</v>
      </c>
      <c r="AJ9" s="34">
        <f t="shared" si="3"/>
        <v>8.4360965699820781E-2</v>
      </c>
      <c r="AK9" s="34">
        <f t="shared" si="3"/>
        <v>8.2442241652834758E-2</v>
      </c>
      <c r="AL9" s="34">
        <f t="shared" si="3"/>
        <v>7.9391480941198578E-2</v>
      </c>
      <c r="AM9" s="34">
        <f t="shared" si="3"/>
        <v>0.67012074380363029</v>
      </c>
    </row>
    <row r="10" spans="1:39" x14ac:dyDescent="0.25">
      <c r="B10" s="34">
        <f>(B9-0.06465)/(1.176648-0.06465)</f>
        <v>1.0000000569527443</v>
      </c>
      <c r="C10" s="34">
        <f t="shared" ref="C10:AM10" si="4">(C9-0.06465)/(1.176648-0.06465)</f>
        <v>0.85474407605336467</v>
      </c>
      <c r="D10" s="34">
        <f t="shared" si="4"/>
        <v>0.5983925234324905</v>
      </c>
      <c r="E10" s="34">
        <f t="shared" si="4"/>
        <v>0.5040252781505814</v>
      </c>
      <c r="F10" s="34">
        <f t="shared" si="4"/>
        <v>0.49156141874454179</v>
      </c>
      <c r="G10" s="34">
        <f t="shared" si="4"/>
        <v>0.46734763477361174</v>
      </c>
      <c r="H10" s="34">
        <f t="shared" si="4"/>
        <v>0.42491969377100486</v>
      </c>
      <c r="I10" s="34">
        <f t="shared" si="4"/>
        <v>0.41159921441289038</v>
      </c>
      <c r="J10" s="34">
        <f t="shared" si="4"/>
        <v>0.37699527492630402</v>
      </c>
      <c r="K10" s="34">
        <f t="shared" si="4"/>
        <v>0.37462971614551016</v>
      </c>
      <c r="L10" s="34">
        <f t="shared" si="4"/>
        <v>0.35826813752515635</v>
      </c>
      <c r="M10" s="34">
        <f t="shared" si="4"/>
        <v>0.3146341700651647</v>
      </c>
      <c r="N10" s="34">
        <f t="shared" si="4"/>
        <v>0.29073931086431493</v>
      </c>
      <c r="O10" s="34">
        <f t="shared" si="4"/>
        <v>0.26900448245316771</v>
      </c>
      <c r="P10" s="34">
        <f t="shared" si="4"/>
        <v>0.25210467450178936</v>
      </c>
      <c r="Q10" s="34">
        <f t="shared" si="4"/>
        <v>0.23712719841236671</v>
      </c>
      <c r="R10" s="34">
        <f t="shared" si="4"/>
        <v>0.20673261835291945</v>
      </c>
      <c r="S10" s="34">
        <f t="shared" si="4"/>
        <v>0.1964003651539015</v>
      </c>
      <c r="T10" s="34">
        <f t="shared" si="4"/>
        <v>0.19337184224783388</v>
      </c>
      <c r="U10" s="34">
        <f t="shared" si="4"/>
        <v>0.19166528293805124</v>
      </c>
      <c r="V10" s="34">
        <f t="shared" si="4"/>
        <v>0.15405829186053632</v>
      </c>
      <c r="W10" s="34">
        <f t="shared" si="4"/>
        <v>0.15304571080097804</v>
      </c>
      <c r="X10" s="34">
        <f t="shared" si="4"/>
        <v>0.13987958029784517</v>
      </c>
      <c r="Y10" s="34">
        <f t="shared" si="4"/>
        <v>0.12459645138815216</v>
      </c>
      <c r="Z10" s="34">
        <f t="shared" si="4"/>
        <v>0.12395485301806658</v>
      </c>
      <c r="AA10" s="34">
        <f t="shared" si="4"/>
        <v>0.1169355270619607</v>
      </c>
      <c r="AB10" s="34">
        <f t="shared" si="4"/>
        <v>0.10127788761040526</v>
      </c>
      <c r="AC10" s="34">
        <f t="shared" si="4"/>
        <v>6.6274988246345867E-2</v>
      </c>
      <c r="AD10" s="34">
        <f t="shared" si="4"/>
        <v>5.4054133759147423E-2</v>
      </c>
      <c r="AE10" s="34">
        <f t="shared" si="4"/>
        <v>4.3549328408087756E-2</v>
      </c>
      <c r="AF10" s="34">
        <f t="shared" si="4"/>
        <v>1.7020620341307396E-2</v>
      </c>
      <c r="AG10" s="34">
        <f t="shared" si="4"/>
        <v>3.288701698707034E-2</v>
      </c>
      <c r="AH10" s="34">
        <f t="shared" si="4"/>
        <v>6.6408962291825491E-3</v>
      </c>
      <c r="AI10" s="34">
        <f t="shared" si="4"/>
        <v>3.1465385111372514E-2</v>
      </c>
      <c r="AJ10" s="34">
        <f t="shared" si="4"/>
        <v>1.7725720459767721E-2</v>
      </c>
      <c r="AK10" s="34">
        <f t="shared" si="4"/>
        <v>1.6000246091121353E-2</v>
      </c>
      <c r="AL10" s="34">
        <f t="shared" si="4"/>
        <v>1.3256751308184531E-2</v>
      </c>
      <c r="AM10" s="34">
        <f t="shared" si="4"/>
        <v>0.5444890582569667</v>
      </c>
    </row>
  </sheetData>
  <sortState xmlns:xlrd2="http://schemas.microsoft.com/office/spreadsheetml/2017/richdata2" columnSort="1" ref="B1:AM9">
    <sortCondition descending="1" ref="B9:AM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Clubs by Region</vt:lpstr>
      <vt:lpstr>Clubs by Division</vt:lpstr>
      <vt:lpstr>Scouting by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Jens Eric Weirich</cp:lastModifiedBy>
  <cp:revision>0</cp:revision>
  <dcterms:created xsi:type="dcterms:W3CDTF">2026-07-10T15:58:46Z</dcterms:created>
  <dcterms:modified xsi:type="dcterms:W3CDTF">2026-08-03T20:19:18Z</dcterms:modified>
  <dc:language>en-US</dc:language>
</cp:coreProperties>
</file>